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N:\Mipuy\Projects\אגף רישום\"/>
    </mc:Choice>
  </mc:AlternateContent>
  <bookViews>
    <workbookView xWindow="0" yWindow="0" windowWidth="23040" windowHeight="10335"/>
  </bookViews>
  <sheets>
    <sheet name="גיליון1" sheetId="1" r:id="rId1"/>
  </sheets>
  <definedNames>
    <definedName name="_xlnm._FilterDatabase" localSheetId="0" hidden="1">גיליון1!$A$2:$O$44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2" i="1" l="1"/>
  <c r="H25" i="1"/>
  <c r="H8" i="1"/>
  <c r="H3" i="1"/>
  <c r="H43" i="1" s="1"/>
  <c r="H46" i="1" l="1"/>
  <c r="K18" i="1"/>
  <c r="K17" i="1"/>
  <c r="G24" i="1"/>
  <c r="K23" i="1"/>
  <c r="M38" i="1" l="1"/>
  <c r="M43" i="1" s="1"/>
  <c r="L28" i="1"/>
  <c r="L43" i="1" s="1"/>
  <c r="K22" i="1"/>
  <c r="K21" i="1"/>
  <c r="K19" i="1"/>
  <c r="G41" i="1"/>
  <c r="G39" i="1"/>
  <c r="G37" i="1"/>
  <c r="G36" i="1"/>
  <c r="G30" i="1"/>
  <c r="G27" i="1"/>
  <c r="G26" i="1"/>
  <c r="K9" i="1"/>
  <c r="G7" i="1"/>
  <c r="G6" i="1"/>
  <c r="G5" i="1"/>
  <c r="G4" i="1"/>
  <c r="I32" i="1"/>
  <c r="F20" i="1"/>
  <c r="J20" i="1" s="1"/>
  <c r="F16" i="1"/>
  <c r="K16" i="1" s="1"/>
  <c r="F15" i="1"/>
  <c r="J15" i="1" s="1"/>
  <c r="F14" i="1"/>
  <c r="J14" i="1" s="1"/>
  <c r="F13" i="1"/>
  <c r="J13" i="1" s="1"/>
  <c r="F12" i="1"/>
  <c r="J12" i="1" s="1"/>
  <c r="F11" i="1"/>
  <c r="J11" i="1" s="1"/>
  <c r="F10" i="1"/>
  <c r="F40" i="1"/>
  <c r="F35" i="1"/>
  <c r="G35" i="1" s="1"/>
  <c r="F34" i="1"/>
  <c r="G34" i="1" s="1"/>
  <c r="F33" i="1"/>
  <c r="G33" i="1" s="1"/>
  <c r="F31" i="1"/>
  <c r="G31" i="1" s="1"/>
  <c r="F29" i="1"/>
  <c r="G29" i="1" s="1"/>
  <c r="G43" i="1" l="1"/>
  <c r="K43" i="1"/>
  <c r="F43" i="1"/>
  <c r="H44" i="1" s="1"/>
  <c r="I43" i="1"/>
  <c r="G40" i="1"/>
  <c r="I40" i="1"/>
  <c r="J10" i="1"/>
  <c r="J43" i="1" s="1"/>
  <c r="J44" i="1" l="1"/>
  <c r="I44" i="1"/>
  <c r="G44" i="1"/>
  <c r="F46" i="1"/>
  <c r="H47" i="1" s="1"/>
  <c r="K44" i="1"/>
  <c r="I46" i="1"/>
  <c r="L44" i="1"/>
  <c r="M44" i="1"/>
  <c r="G46" i="1"/>
  <c r="I47" i="1" l="1"/>
  <c r="G47" i="1"/>
  <c r="F44" i="1"/>
  <c r="F47" i="1"/>
</calcChain>
</file>

<file path=xl/sharedStrings.xml><?xml version="1.0" encoding="utf-8"?>
<sst xmlns="http://schemas.openxmlformats.org/spreadsheetml/2006/main" count="101" uniqueCount="27">
  <si>
    <t>מספר גוש</t>
  </si>
  <si>
    <t>מספר חלקה</t>
  </si>
  <si>
    <t>מדינת ישראל</t>
  </si>
  <si>
    <t>רשות הפתוח</t>
  </si>
  <si>
    <t>קרן קיימת לישראל</t>
  </si>
  <si>
    <t>פרטי</t>
  </si>
  <si>
    <t>הימנותא</t>
  </si>
  <si>
    <t>חכירה</t>
  </si>
  <si>
    <t>הערה סעיף 126</t>
  </si>
  <si>
    <r>
      <t xml:space="preserve">שטח החלקה הרשום </t>
    </r>
    <r>
      <rPr>
        <sz val="11"/>
        <color theme="1"/>
        <rFont val="Arial"/>
        <family val="2"/>
        <scheme val="minor"/>
      </rPr>
      <t xml:space="preserve">(מ"ר) </t>
    </r>
  </si>
  <si>
    <r>
      <t xml:space="preserve">נתוני המקרקעין </t>
    </r>
    <r>
      <rPr>
        <sz val="11"/>
        <color theme="1"/>
        <rFont val="Arial"/>
        <family val="2"/>
        <scheme val="minor"/>
      </rPr>
      <t>(לפי נסח)</t>
    </r>
  </si>
  <si>
    <r>
      <t xml:space="preserve">בעלות </t>
    </r>
    <r>
      <rPr>
        <sz val="11"/>
        <color theme="1"/>
        <rFont val="Arial"/>
        <family val="2"/>
        <scheme val="minor"/>
      </rPr>
      <t>(לפי נסח)</t>
    </r>
  </si>
  <si>
    <t>מוסדר/ לא מוסדר</t>
  </si>
  <si>
    <t>מוסדר</t>
  </si>
  <si>
    <t>רשות הפיתוח</t>
  </si>
  <si>
    <t>רשות מקומית</t>
  </si>
  <si>
    <t>רשות הפיתוח+קרן קיימת לישראל</t>
  </si>
  <si>
    <t>בית משותף</t>
  </si>
  <si>
    <r>
      <t xml:space="preserve">שטח החלקה הנכלל בתחום הפרוייקט </t>
    </r>
    <r>
      <rPr>
        <sz val="11"/>
        <color theme="1"/>
        <rFont val="Arial"/>
        <family val="2"/>
        <scheme val="minor"/>
      </rPr>
      <t>(דונם)</t>
    </r>
  </si>
  <si>
    <t>פרטית</t>
  </si>
  <si>
    <t xml:space="preserve">לא ידועה </t>
  </si>
  <si>
    <t>התפלגות הבעלויות בתחום הפרויקט *</t>
  </si>
  <si>
    <r>
      <t xml:space="preserve">שעבודים קנייניים רשומים/ במ"שים </t>
    </r>
    <r>
      <rPr>
        <sz val="11"/>
        <color theme="1"/>
        <rFont val="Arial"/>
        <family val="2"/>
        <scheme val="minor"/>
      </rPr>
      <t>(כרשום בנסח)</t>
    </r>
  </si>
  <si>
    <t>לא מוסדר</t>
  </si>
  <si>
    <t>לא ידוע</t>
  </si>
  <si>
    <t>*</t>
  </si>
  <si>
    <t xml:space="preserve"> חלק הבעלות מחושב בהתאם לרשום בנסח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</si>
</sst>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64" formatCode="_ * #,##0_ ;_ * \-#,##0_ ;_ * &quot;-&quot;??_ ;_ @_ "/>
    <numFmt numFmtId="165" formatCode="_ * #,##0.000_ ;_ * \-#,##0.000_ ;_ * &quot;-&quot;??_ ;_ @_ "/>
  </numFmts>
  <fonts count="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5FFFB"/>
        <bgColor indexed="64"/>
      </patternFill>
    </fill>
    <fill>
      <patternFill patternType="solid">
        <fgColor rgb="FFE8F2F8"/>
        <bgColor indexed="64"/>
      </patternFill>
    </fill>
    <fill>
      <patternFill patternType="solid">
        <fgColor rgb="FFE8FE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AEB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rgb="FFFFF3D1"/>
        <bgColor indexed="64"/>
      </patternFill>
    </fill>
  </fills>
  <borders count="4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3">
    <xf numFmtId="0" fontId="0" fillId="0" borderId="0" xfId="0"/>
    <xf numFmtId="0" fontId="2" fillId="0" borderId="0" xfId="0" applyFont="1"/>
    <xf numFmtId="164" fontId="2" fillId="0" borderId="0" xfId="1" applyNumberFormat="1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9" fontId="0" fillId="0" borderId="0" xfId="2" applyFont="1"/>
    <xf numFmtId="1" fontId="0" fillId="0" borderId="0" xfId="0" applyNumberFormat="1"/>
    <xf numFmtId="0" fontId="2" fillId="2" borderId="4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vertical="center" wrapText="1"/>
    </xf>
    <xf numFmtId="164" fontId="3" fillId="0" borderId="6" xfId="1" applyNumberFormat="1" applyFont="1" applyBorder="1" applyAlignment="1">
      <alignment horizontal="right" vertical="center"/>
    </xf>
    <xf numFmtId="164" fontId="3" fillId="0" borderId="17" xfId="1" applyNumberFormat="1" applyFont="1" applyBorder="1" applyAlignment="1">
      <alignment horizontal="center" vertical="center"/>
    </xf>
    <xf numFmtId="164" fontId="2" fillId="6" borderId="12" xfId="1" applyNumberFormat="1" applyFont="1" applyFill="1" applyBorder="1"/>
    <xf numFmtId="0" fontId="0" fillId="6" borderId="2" xfId="0" applyFill="1" applyBorder="1"/>
    <xf numFmtId="0" fontId="0" fillId="5" borderId="0" xfId="0" applyFill="1"/>
    <xf numFmtId="9" fontId="0" fillId="5" borderId="0" xfId="2" applyFont="1" applyFill="1"/>
    <xf numFmtId="43" fontId="0" fillId="5" borderId="0" xfId="0" applyNumberFormat="1" applyFill="1"/>
    <xf numFmtId="0" fontId="3" fillId="0" borderId="3" xfId="0" applyFont="1" applyBorder="1" applyAlignment="1">
      <alignment horizontal="center" vertical="center"/>
    </xf>
    <xf numFmtId="0" fontId="2" fillId="6" borderId="18" xfId="0" applyFont="1" applyFill="1" applyBorder="1"/>
    <xf numFmtId="0" fontId="2" fillId="6" borderId="19" xfId="0" applyFont="1" applyFill="1" applyBorder="1"/>
    <xf numFmtId="0" fontId="0" fillId="6" borderId="19" xfId="0" applyFill="1" applyBorder="1"/>
    <xf numFmtId="9" fontId="2" fillId="6" borderId="18" xfId="0" applyNumberFormat="1" applyFont="1" applyFill="1" applyBorder="1"/>
    <xf numFmtId="9" fontId="2" fillId="6" borderId="21" xfId="2" applyFont="1" applyFill="1" applyBorder="1"/>
    <xf numFmtId="9" fontId="2" fillId="6" borderId="20" xfId="2" applyFont="1" applyFill="1" applyBorder="1"/>
    <xf numFmtId="0" fontId="2" fillId="6" borderId="7" xfId="0" applyFont="1" applyFill="1" applyBorder="1"/>
    <xf numFmtId="0" fontId="2" fillId="6" borderId="8" xfId="0" applyFont="1" applyFill="1" applyBorder="1"/>
    <xf numFmtId="164" fontId="2" fillId="6" borderId="8" xfId="1" applyNumberFormat="1" applyFont="1" applyFill="1" applyBorder="1"/>
    <xf numFmtId="0" fontId="2" fillId="6" borderId="0" xfId="0" applyFont="1" applyFill="1" applyBorder="1"/>
    <xf numFmtId="0" fontId="0" fillId="6" borderId="0" xfId="0" applyFill="1" applyBorder="1"/>
    <xf numFmtId="9" fontId="2" fillId="6" borderId="0" xfId="0" applyNumberFormat="1" applyFont="1" applyFill="1" applyBorder="1"/>
    <xf numFmtId="9" fontId="2" fillId="6" borderId="0" xfId="2" applyFont="1" applyFill="1" applyBorder="1"/>
    <xf numFmtId="0" fontId="2" fillId="7" borderId="3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 wrapText="1"/>
    </xf>
    <xf numFmtId="0" fontId="2" fillId="9" borderId="22" xfId="0" applyFont="1" applyFill="1" applyBorder="1"/>
    <xf numFmtId="0" fontId="2" fillId="9" borderId="23" xfId="0" applyFont="1" applyFill="1" applyBorder="1"/>
    <xf numFmtId="0" fontId="0" fillId="9" borderId="23" xfId="0" applyFill="1" applyBorder="1"/>
    <xf numFmtId="9" fontId="2" fillId="9" borderId="23" xfId="2" applyFont="1" applyFill="1" applyBorder="1"/>
    <xf numFmtId="0" fontId="0" fillId="9" borderId="1" xfId="0" applyFill="1" applyBorder="1"/>
    <xf numFmtId="0" fontId="2" fillId="9" borderId="18" xfId="0" applyFont="1" applyFill="1" applyBorder="1"/>
    <xf numFmtId="0" fontId="2" fillId="9" borderId="19" xfId="0" applyFont="1" applyFill="1" applyBorder="1"/>
    <xf numFmtId="0" fontId="0" fillId="9" borderId="19" xfId="0" applyFill="1" applyBorder="1"/>
    <xf numFmtId="9" fontId="2" fillId="9" borderId="19" xfId="0" applyNumberFormat="1" applyFont="1" applyFill="1" applyBorder="1"/>
    <xf numFmtId="9" fontId="2" fillId="9" borderId="19" xfId="2" applyFont="1" applyFill="1" applyBorder="1"/>
    <xf numFmtId="0" fontId="0" fillId="9" borderId="20" xfId="0" applyFill="1" applyBorder="1"/>
    <xf numFmtId="165" fontId="3" fillId="0" borderId="3" xfId="1" applyNumberFormat="1" applyFont="1" applyBorder="1" applyAlignment="1">
      <alignment horizontal="centerContinuous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NumberFormat="1"/>
    <xf numFmtId="0" fontId="3" fillId="0" borderId="3" xfId="0" applyFont="1" applyFill="1" applyBorder="1" applyAlignment="1">
      <alignment horizontal="center" vertical="center"/>
    </xf>
    <xf numFmtId="165" fontId="3" fillId="0" borderId="3" xfId="1" applyNumberFormat="1" applyFont="1" applyFill="1" applyBorder="1" applyAlignment="1">
      <alignment horizontal="centerContinuous" vertical="center"/>
    </xf>
    <xf numFmtId="164" fontId="3" fillId="0" borderId="6" xfId="1" applyNumberFormat="1" applyFont="1" applyFill="1" applyBorder="1" applyAlignment="1">
      <alignment horizontal="right" vertical="center"/>
    </xf>
    <xf numFmtId="165" fontId="3" fillId="0" borderId="10" xfId="1" applyNumberFormat="1" applyFont="1" applyBorder="1" applyAlignment="1">
      <alignment horizontal="center" vertical="center"/>
    </xf>
    <xf numFmtId="165" fontId="3" fillId="0" borderId="3" xfId="1" applyNumberFormat="1" applyFont="1" applyBorder="1" applyAlignment="1">
      <alignment horizontal="center" vertical="center"/>
    </xf>
    <xf numFmtId="165" fontId="3" fillId="0" borderId="6" xfId="1" applyNumberFormat="1" applyFont="1" applyBorder="1" applyAlignment="1">
      <alignment horizontal="center" vertical="center"/>
    </xf>
    <xf numFmtId="165" fontId="3" fillId="0" borderId="11" xfId="1" applyNumberFormat="1" applyFont="1" applyBorder="1" applyAlignment="1">
      <alignment horizontal="center" vertical="center"/>
    </xf>
    <xf numFmtId="165" fontId="2" fillId="6" borderId="13" xfId="1" applyNumberFormat="1" applyFont="1" applyFill="1" applyBorder="1"/>
    <xf numFmtId="165" fontId="2" fillId="6" borderId="14" xfId="1" applyNumberFormat="1" applyFont="1" applyFill="1" applyBorder="1"/>
    <xf numFmtId="165" fontId="2" fillId="6" borderId="15" xfId="1" applyNumberFormat="1" applyFont="1" applyFill="1" applyBorder="1"/>
    <xf numFmtId="165" fontId="2" fillId="6" borderId="7" xfId="1" applyNumberFormat="1" applyFont="1" applyFill="1" applyBorder="1"/>
    <xf numFmtId="165" fontId="2" fillId="9" borderId="23" xfId="2" applyNumberFormat="1" applyFont="1" applyFill="1" applyBorder="1"/>
    <xf numFmtId="165" fontId="3" fillId="0" borderId="3" xfId="1" applyNumberFormat="1" applyFont="1" applyFill="1" applyBorder="1" applyAlignment="1">
      <alignment horizontal="center" vertical="center"/>
    </xf>
    <xf numFmtId="165" fontId="2" fillId="0" borderId="0" xfId="0" applyNumberFormat="1" applyFont="1"/>
    <xf numFmtId="9" fontId="0" fillId="0" borderId="0" xfId="0" applyNumberFormat="1"/>
    <xf numFmtId="0" fontId="2" fillId="6" borderId="24" xfId="0" applyFont="1" applyFill="1" applyBorder="1"/>
    <xf numFmtId="0" fontId="3" fillId="0" borderId="26" xfId="0" applyFont="1" applyBorder="1" applyAlignment="1">
      <alignment horizontal="center" vertical="center"/>
    </xf>
    <xf numFmtId="165" fontId="3" fillId="0" borderId="26" xfId="1" applyNumberFormat="1" applyFont="1" applyBorder="1" applyAlignment="1">
      <alignment horizontal="centerContinuous" vertical="center"/>
    </xf>
    <xf numFmtId="165" fontId="3" fillId="0" borderId="25" xfId="1" applyNumberFormat="1" applyFont="1" applyBorder="1" applyAlignment="1">
      <alignment horizontal="center" vertical="center"/>
    </xf>
    <xf numFmtId="165" fontId="3" fillId="0" borderId="26" xfId="1" applyNumberFormat="1" applyFont="1" applyBorder="1" applyAlignment="1">
      <alignment horizontal="center" vertical="center"/>
    </xf>
    <xf numFmtId="165" fontId="3" fillId="0" borderId="27" xfId="1" applyNumberFormat="1" applyFont="1" applyBorder="1" applyAlignment="1">
      <alignment horizontal="center" vertical="center"/>
    </xf>
    <xf numFmtId="165" fontId="3" fillId="0" borderId="28" xfId="1" applyNumberFormat="1" applyFont="1" applyBorder="1" applyAlignment="1">
      <alignment horizontal="center" vertical="center"/>
    </xf>
    <xf numFmtId="164" fontId="3" fillId="0" borderId="16" xfId="1" applyNumberFormat="1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165" fontId="3" fillId="0" borderId="30" xfId="1" applyNumberFormat="1" applyFont="1" applyFill="1" applyBorder="1" applyAlignment="1">
      <alignment horizontal="centerContinuous" vertical="center"/>
    </xf>
    <xf numFmtId="164" fontId="3" fillId="0" borderId="31" xfId="1" applyNumberFormat="1" applyFont="1" applyFill="1" applyBorder="1" applyAlignment="1">
      <alignment horizontal="right" vertical="center"/>
    </xf>
    <xf numFmtId="165" fontId="3" fillId="0" borderId="30" xfId="1" applyNumberFormat="1" applyFont="1" applyFill="1" applyBorder="1" applyAlignment="1">
      <alignment horizontal="center" vertical="center"/>
    </xf>
    <xf numFmtId="165" fontId="3" fillId="0" borderId="31" xfId="1" applyNumberFormat="1" applyFont="1" applyBorder="1" applyAlignment="1">
      <alignment horizontal="center" vertical="center"/>
    </xf>
    <xf numFmtId="165" fontId="3" fillId="0" borderId="32" xfId="1" applyNumberFormat="1" applyFont="1" applyBorder="1" applyAlignment="1">
      <alignment horizontal="center" vertical="center"/>
    </xf>
    <xf numFmtId="164" fontId="3" fillId="0" borderId="33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3" fillId="0" borderId="27" xfId="1" applyNumberFormat="1" applyFont="1" applyFill="1" applyBorder="1" applyAlignment="1">
      <alignment horizontal="right" vertical="center"/>
    </xf>
    <xf numFmtId="165" fontId="3" fillId="0" borderId="36" xfId="1" applyNumberFormat="1" applyFont="1" applyBorder="1" applyAlignment="1">
      <alignment horizontal="centerContinuous" vertical="center"/>
    </xf>
    <xf numFmtId="165" fontId="4" fillId="0" borderId="36" xfId="1" applyNumberFormat="1" applyFont="1" applyFill="1" applyBorder="1" applyAlignment="1">
      <alignment horizontal="centerContinuous" vertical="center"/>
    </xf>
    <xf numFmtId="165" fontId="4" fillId="0" borderId="36" xfId="1" applyNumberFormat="1" applyFont="1" applyBorder="1" applyAlignment="1">
      <alignment horizontal="centerContinuous" vertical="center"/>
    </xf>
    <xf numFmtId="165" fontId="4" fillId="0" borderId="37" xfId="1" applyNumberFormat="1" applyFont="1" applyFill="1" applyBorder="1" applyAlignment="1">
      <alignment horizontal="centerContinuous" vertical="center"/>
    </xf>
    <xf numFmtId="165" fontId="3" fillId="0" borderId="35" xfId="1" applyNumberFormat="1" applyFont="1" applyBorder="1" applyAlignment="1">
      <alignment horizontal="centerContinuous" vertical="center"/>
    </xf>
    <xf numFmtId="165" fontId="3" fillId="0" borderId="41" xfId="1" applyNumberFormat="1" applyFont="1" applyBorder="1" applyAlignment="1">
      <alignment horizontal="center" vertical="center"/>
    </xf>
    <xf numFmtId="165" fontId="3" fillId="0" borderId="42" xfId="1" applyNumberFormat="1" applyFont="1" applyBorder="1" applyAlignment="1">
      <alignment horizontal="center" vertical="center"/>
    </xf>
    <xf numFmtId="165" fontId="3" fillId="0" borderId="43" xfId="1" applyNumberFormat="1" applyFont="1" applyBorder="1" applyAlignment="1">
      <alignment horizontal="center" vertical="center"/>
    </xf>
    <xf numFmtId="165" fontId="2" fillId="6" borderId="44" xfId="1" applyNumberFormat="1" applyFont="1" applyFill="1" applyBorder="1"/>
    <xf numFmtId="9" fontId="2" fillId="6" borderId="19" xfId="2" applyFont="1" applyFill="1" applyBorder="1"/>
    <xf numFmtId="165" fontId="3" fillId="0" borderId="10" xfId="1" applyNumberFormat="1" applyFont="1" applyFill="1" applyBorder="1" applyAlignment="1">
      <alignment horizontal="center" vertical="center"/>
    </xf>
    <xf numFmtId="165" fontId="3" fillId="0" borderId="29" xfId="1" applyNumberFormat="1" applyFont="1" applyFill="1" applyBorder="1" applyAlignment="1">
      <alignment horizontal="center" vertical="center"/>
    </xf>
    <xf numFmtId="9" fontId="2" fillId="6" borderId="39" xfId="2" applyFont="1" applyFill="1" applyBorder="1"/>
    <xf numFmtId="0" fontId="0" fillId="5" borderId="0" xfId="0" applyFill="1" applyAlignment="1">
      <alignment horizontal="center"/>
    </xf>
    <xf numFmtId="0" fontId="2" fillId="7" borderId="41" xfId="0" applyFont="1" applyFill="1" applyBorder="1" applyAlignment="1">
      <alignment horizontal="center" vertical="center" wrapText="1"/>
    </xf>
    <xf numFmtId="165" fontId="3" fillId="0" borderId="42" xfId="1" applyNumberFormat="1" applyFont="1" applyFill="1" applyBorder="1" applyAlignment="1">
      <alignment horizontal="center" vertical="center"/>
    </xf>
    <xf numFmtId="9" fontId="2" fillId="6" borderId="45" xfId="2" applyFont="1" applyFill="1" applyBorder="1"/>
    <xf numFmtId="0" fontId="2" fillId="8" borderId="13" xfId="0" applyFont="1" applyFill="1" applyBorder="1" applyAlignment="1">
      <alignment horizontal="center" vertical="center" wrapText="1"/>
    </xf>
    <xf numFmtId="0" fontId="2" fillId="8" borderId="44" xfId="0" applyFont="1" applyFill="1" applyBorder="1" applyAlignment="1">
      <alignment horizontal="center" vertical="center" wrapText="1"/>
    </xf>
    <xf numFmtId="0" fontId="2" fillId="8" borderId="15" xfId="0" applyFont="1" applyFill="1" applyBorder="1" applyAlignment="1">
      <alignment horizontal="center" vertical="center" wrapText="1"/>
    </xf>
    <xf numFmtId="165" fontId="3" fillId="0" borderId="11" xfId="1" applyNumberFormat="1" applyFont="1" applyFill="1" applyBorder="1" applyAlignment="1">
      <alignment horizontal="center" vertical="center"/>
    </xf>
    <xf numFmtId="165" fontId="3" fillId="0" borderId="32" xfId="1" applyNumberFormat="1" applyFont="1" applyFill="1" applyBorder="1" applyAlignment="1">
      <alignment horizontal="center" vertical="center"/>
    </xf>
    <xf numFmtId="9" fontId="2" fillId="6" borderId="46" xfId="2" applyFont="1" applyFill="1" applyBorder="1"/>
    <xf numFmtId="165" fontId="2" fillId="9" borderId="22" xfId="2" applyNumberFormat="1" applyFont="1" applyFill="1" applyBorder="1"/>
    <xf numFmtId="165" fontId="2" fillId="9" borderId="1" xfId="2" applyNumberFormat="1" applyFont="1" applyFill="1" applyBorder="1"/>
    <xf numFmtId="9" fontId="2" fillId="9" borderId="18" xfId="2" applyFont="1" applyFill="1" applyBorder="1"/>
    <xf numFmtId="9" fontId="2" fillId="9" borderId="20" xfId="2" applyFont="1" applyFill="1" applyBorder="1"/>
    <xf numFmtId="0" fontId="3" fillId="0" borderId="9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0" fillId="5" borderId="0" xfId="0" applyFill="1" applyAlignment="1">
      <alignment horizontal="right"/>
    </xf>
    <xf numFmtId="0" fontId="2" fillId="4" borderId="1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35" xfId="0" applyFont="1" applyFill="1" applyBorder="1" applyAlignment="1">
      <alignment horizontal="center" vertical="center" wrapText="1"/>
    </xf>
    <xf numFmtId="0" fontId="2" fillId="7" borderId="22" xfId="0" applyFont="1" applyFill="1" applyBorder="1" applyAlignment="1">
      <alignment horizontal="center" vertical="center" wrapText="1"/>
    </xf>
    <xf numFmtId="0" fontId="2" fillId="7" borderId="23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7" borderId="34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DDDD"/>
      <color rgb="FFE8FEF5"/>
      <color rgb="FFFAFAA4"/>
      <color rgb="FFFFE5E5"/>
      <color rgb="FFFFF3D1"/>
      <color rgb="FFFFD1D1"/>
      <color rgb="FFFFEBEB"/>
      <color rgb="FFFFFAEB"/>
      <color rgb="FFFFF7F7"/>
      <color rgb="FFE8F2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3"/>
  <sheetViews>
    <sheetView rightToLeft="1" tabSelected="1" topLeftCell="A14" zoomScaleNormal="100" workbookViewId="0">
      <selection activeCell="Q34" sqref="Q34"/>
    </sheetView>
  </sheetViews>
  <sheetFormatPr defaultRowHeight="14.25" x14ac:dyDescent="0.2"/>
  <cols>
    <col min="1" max="1" width="7" customWidth="1"/>
    <col min="2" max="2" width="7.125" customWidth="1"/>
    <col min="3" max="3" width="8.125" customWidth="1"/>
    <col min="4" max="4" width="12.25" customWidth="1"/>
    <col min="5" max="5" width="26.5" customWidth="1"/>
    <col min="6" max="6" width="13.375" customWidth="1"/>
    <col min="7" max="13" width="9.125" customWidth="1"/>
    <col min="14" max="14" width="14.5" customWidth="1"/>
  </cols>
  <sheetData>
    <row r="1" spans="1:15" s="79" customFormat="1" ht="19.5" customHeight="1" thickBot="1" x14ac:dyDescent="0.25">
      <c r="A1" s="115" t="s">
        <v>10</v>
      </c>
      <c r="B1" s="116"/>
      <c r="C1" s="116"/>
      <c r="D1" s="116"/>
      <c r="E1" s="116"/>
      <c r="F1" s="117" t="s">
        <v>18</v>
      </c>
      <c r="G1" s="119" t="s">
        <v>21</v>
      </c>
      <c r="H1" s="120"/>
      <c r="I1" s="120"/>
      <c r="J1" s="121"/>
      <c r="K1" s="121"/>
      <c r="L1" s="121"/>
      <c r="M1" s="122"/>
      <c r="N1" s="113" t="s">
        <v>22</v>
      </c>
    </row>
    <row r="2" spans="1:15" s="3" customFormat="1" ht="31.5" customHeight="1" x14ac:dyDescent="0.2">
      <c r="A2" s="9" t="s">
        <v>0</v>
      </c>
      <c r="B2" s="8" t="s">
        <v>1</v>
      </c>
      <c r="C2" s="8" t="s">
        <v>12</v>
      </c>
      <c r="D2" s="8" t="s">
        <v>9</v>
      </c>
      <c r="E2" s="10" t="s">
        <v>11</v>
      </c>
      <c r="F2" s="118"/>
      <c r="G2" s="98" t="s">
        <v>3</v>
      </c>
      <c r="H2" s="99" t="s">
        <v>2</v>
      </c>
      <c r="I2" s="100" t="s">
        <v>4</v>
      </c>
      <c r="J2" s="95" t="s">
        <v>19</v>
      </c>
      <c r="K2" s="32" t="s">
        <v>15</v>
      </c>
      <c r="L2" s="33" t="s">
        <v>6</v>
      </c>
      <c r="M2" s="34" t="s">
        <v>20</v>
      </c>
      <c r="N2" s="114"/>
    </row>
    <row r="3" spans="1:15" s="4" customFormat="1" ht="15" x14ac:dyDescent="0.2">
      <c r="A3" s="108">
        <v>1966</v>
      </c>
      <c r="B3" s="49">
        <v>1</v>
      </c>
      <c r="C3" s="49" t="s">
        <v>13</v>
      </c>
      <c r="D3" s="50">
        <v>68.790000000000006</v>
      </c>
      <c r="E3" s="51" t="s">
        <v>2</v>
      </c>
      <c r="F3" s="81">
        <v>1.534</v>
      </c>
      <c r="G3" s="52"/>
      <c r="H3" s="86">
        <f>F3</f>
        <v>1.534</v>
      </c>
      <c r="I3" s="55"/>
      <c r="J3" s="86"/>
      <c r="K3" s="53"/>
      <c r="L3" s="54"/>
      <c r="M3" s="55"/>
      <c r="N3" s="12" t="s">
        <v>8</v>
      </c>
      <c r="O3" s="5"/>
    </row>
    <row r="4" spans="1:15" s="4" customFormat="1" ht="15" x14ac:dyDescent="0.2">
      <c r="A4" s="109"/>
      <c r="B4" s="49">
        <v>2</v>
      </c>
      <c r="C4" s="49" t="s">
        <v>13</v>
      </c>
      <c r="D4" s="50">
        <v>27.074000000000002</v>
      </c>
      <c r="E4" s="51" t="s">
        <v>14</v>
      </c>
      <c r="F4" s="81">
        <v>24.202000000000002</v>
      </c>
      <c r="G4" s="52">
        <f>F4</f>
        <v>24.202000000000002</v>
      </c>
      <c r="H4" s="86"/>
      <c r="I4" s="55"/>
      <c r="J4" s="86"/>
      <c r="K4" s="53"/>
      <c r="L4" s="54"/>
      <c r="M4" s="55"/>
      <c r="N4" s="12"/>
      <c r="O4" s="5"/>
    </row>
    <row r="5" spans="1:15" s="4" customFormat="1" ht="15" x14ac:dyDescent="0.2">
      <c r="A5" s="109"/>
      <c r="B5" s="49">
        <v>3</v>
      </c>
      <c r="C5" s="49" t="s">
        <v>13</v>
      </c>
      <c r="D5" s="50">
        <v>4.0129999999999999</v>
      </c>
      <c r="E5" s="51" t="s">
        <v>14</v>
      </c>
      <c r="F5" s="81">
        <v>4.0129999999999999</v>
      </c>
      <c r="G5" s="52">
        <f>F5</f>
        <v>4.0129999999999999</v>
      </c>
      <c r="H5" s="86"/>
      <c r="I5" s="55"/>
      <c r="J5" s="86"/>
      <c r="K5" s="53"/>
      <c r="L5" s="54"/>
      <c r="M5" s="55"/>
      <c r="N5" s="12"/>
      <c r="O5" s="5"/>
    </row>
    <row r="6" spans="1:15" s="4" customFormat="1" ht="15" x14ac:dyDescent="0.2">
      <c r="A6" s="109"/>
      <c r="B6" s="49">
        <v>4</v>
      </c>
      <c r="C6" s="49" t="s">
        <v>13</v>
      </c>
      <c r="D6" s="50">
        <v>9.1690000000000005</v>
      </c>
      <c r="E6" s="51" t="s">
        <v>14</v>
      </c>
      <c r="F6" s="81">
        <v>8.8940000000000001</v>
      </c>
      <c r="G6" s="52">
        <f>F6</f>
        <v>8.8940000000000001</v>
      </c>
      <c r="H6" s="86"/>
      <c r="I6" s="55"/>
      <c r="J6" s="86"/>
      <c r="K6" s="53"/>
      <c r="L6" s="54"/>
      <c r="M6" s="55"/>
      <c r="N6" s="12"/>
      <c r="O6" s="5"/>
    </row>
    <row r="7" spans="1:15" s="4" customFormat="1" ht="15" x14ac:dyDescent="0.2">
      <c r="A7" s="109"/>
      <c r="B7" s="49">
        <v>40</v>
      </c>
      <c r="C7" s="49" t="s">
        <v>13</v>
      </c>
      <c r="D7" s="50">
        <v>3.6539999999999999</v>
      </c>
      <c r="E7" s="51" t="s">
        <v>14</v>
      </c>
      <c r="F7" s="81">
        <v>2.944</v>
      </c>
      <c r="G7" s="52">
        <f>F7</f>
        <v>2.944</v>
      </c>
      <c r="H7" s="86"/>
      <c r="I7" s="55"/>
      <c r="J7" s="86"/>
      <c r="K7" s="53"/>
      <c r="L7" s="54"/>
      <c r="M7" s="55"/>
      <c r="N7" s="12"/>
      <c r="O7" s="5"/>
    </row>
    <row r="8" spans="1:15" s="4" customFormat="1" ht="15" x14ac:dyDescent="0.2">
      <c r="A8" s="109"/>
      <c r="B8" s="49">
        <v>41</v>
      </c>
      <c r="C8" s="49" t="s">
        <v>13</v>
      </c>
      <c r="D8" s="50">
        <v>2.202</v>
      </c>
      <c r="E8" s="51" t="s">
        <v>2</v>
      </c>
      <c r="F8" s="81">
        <v>0.14299999999999999</v>
      </c>
      <c r="G8" s="52"/>
      <c r="H8" s="86">
        <f>F8</f>
        <v>0.14299999999999999</v>
      </c>
      <c r="I8" s="55"/>
      <c r="J8" s="86"/>
      <c r="K8" s="53"/>
      <c r="L8" s="54"/>
      <c r="M8" s="55"/>
      <c r="N8" s="12" t="s">
        <v>17</v>
      </c>
      <c r="O8" s="5"/>
    </row>
    <row r="9" spans="1:15" s="4" customFormat="1" ht="15" x14ac:dyDescent="0.2">
      <c r="A9" s="109"/>
      <c r="B9" s="49">
        <v>44</v>
      </c>
      <c r="C9" s="49" t="s">
        <v>13</v>
      </c>
      <c r="D9" s="50">
        <v>4.97</v>
      </c>
      <c r="E9" s="51" t="s">
        <v>15</v>
      </c>
      <c r="F9" s="81">
        <v>4.6449999999999996</v>
      </c>
      <c r="G9" s="52"/>
      <c r="H9" s="86"/>
      <c r="I9" s="55"/>
      <c r="J9" s="86"/>
      <c r="K9" s="52">
        <f>F9</f>
        <v>4.6449999999999996</v>
      </c>
      <c r="L9" s="54"/>
      <c r="M9" s="55"/>
      <c r="N9" s="12"/>
      <c r="O9" s="5"/>
    </row>
    <row r="10" spans="1:15" s="4" customFormat="1" ht="15" x14ac:dyDescent="0.2">
      <c r="A10" s="109"/>
      <c r="B10" s="49">
        <v>326</v>
      </c>
      <c r="C10" s="49" t="s">
        <v>13</v>
      </c>
      <c r="D10" s="50">
        <v>0.13600000000000001</v>
      </c>
      <c r="E10" s="51" t="s">
        <v>5</v>
      </c>
      <c r="F10" s="81">
        <f t="shared" ref="F10:F16" si="0">D10</f>
        <v>0.13600000000000001</v>
      </c>
      <c r="G10" s="52"/>
      <c r="H10" s="86"/>
      <c r="I10" s="55"/>
      <c r="J10" s="86">
        <f t="shared" ref="J10:J15" si="1">F10</f>
        <v>0.13600000000000001</v>
      </c>
      <c r="K10" s="53"/>
      <c r="L10" s="54"/>
      <c r="M10" s="55"/>
      <c r="N10" s="12"/>
      <c r="O10" s="5"/>
    </row>
    <row r="11" spans="1:15" s="4" customFormat="1" ht="15" x14ac:dyDescent="0.2">
      <c r="A11" s="109"/>
      <c r="B11" s="49">
        <v>327</v>
      </c>
      <c r="C11" s="49" t="s">
        <v>13</v>
      </c>
      <c r="D11" s="50">
        <v>0.184</v>
      </c>
      <c r="E11" s="51" t="s">
        <v>5</v>
      </c>
      <c r="F11" s="81">
        <f t="shared" si="0"/>
        <v>0.184</v>
      </c>
      <c r="G11" s="52"/>
      <c r="H11" s="86"/>
      <c r="I11" s="55"/>
      <c r="J11" s="86">
        <f t="shared" si="1"/>
        <v>0.184</v>
      </c>
      <c r="K11" s="53"/>
      <c r="L11" s="54"/>
      <c r="M11" s="55"/>
      <c r="N11" s="12"/>
      <c r="O11" s="5"/>
    </row>
    <row r="12" spans="1:15" s="4" customFormat="1" ht="15" x14ac:dyDescent="0.2">
      <c r="A12" s="109"/>
      <c r="B12" s="49">
        <v>328</v>
      </c>
      <c r="C12" s="49" t="s">
        <v>13</v>
      </c>
      <c r="D12" s="50">
        <v>0.22600000000000001</v>
      </c>
      <c r="E12" s="51" t="s">
        <v>5</v>
      </c>
      <c r="F12" s="81">
        <f t="shared" si="0"/>
        <v>0.22600000000000001</v>
      </c>
      <c r="G12" s="52"/>
      <c r="H12" s="86"/>
      <c r="I12" s="55"/>
      <c r="J12" s="86">
        <f t="shared" si="1"/>
        <v>0.22600000000000001</v>
      </c>
      <c r="K12" s="53"/>
      <c r="L12" s="54"/>
      <c r="M12" s="55"/>
      <c r="N12" s="12"/>
      <c r="O12" s="5"/>
    </row>
    <row r="13" spans="1:15" s="4" customFormat="1" ht="15" x14ac:dyDescent="0.2">
      <c r="A13" s="109"/>
      <c r="B13" s="49">
        <v>329</v>
      </c>
      <c r="C13" s="49" t="s">
        <v>13</v>
      </c>
      <c r="D13" s="50">
        <v>0.26900000000000002</v>
      </c>
      <c r="E13" s="51" t="s">
        <v>5</v>
      </c>
      <c r="F13" s="81">
        <f t="shared" si="0"/>
        <v>0.26900000000000002</v>
      </c>
      <c r="G13" s="52"/>
      <c r="H13" s="86"/>
      <c r="I13" s="55"/>
      <c r="J13" s="86">
        <f t="shared" si="1"/>
        <v>0.26900000000000002</v>
      </c>
      <c r="K13" s="53"/>
      <c r="L13" s="54"/>
      <c r="M13" s="55"/>
      <c r="N13" s="12"/>
      <c r="O13" s="5"/>
    </row>
    <row r="14" spans="1:15" s="4" customFormat="1" ht="15" x14ac:dyDescent="0.2">
      <c r="A14" s="109"/>
      <c r="B14" s="49">
        <v>330</v>
      </c>
      <c r="C14" s="49" t="s">
        <v>13</v>
      </c>
      <c r="D14" s="50">
        <v>0.311</v>
      </c>
      <c r="E14" s="51" t="s">
        <v>5</v>
      </c>
      <c r="F14" s="81">
        <f t="shared" si="0"/>
        <v>0.311</v>
      </c>
      <c r="G14" s="52"/>
      <c r="H14" s="86"/>
      <c r="I14" s="55"/>
      <c r="J14" s="86">
        <f t="shared" si="1"/>
        <v>0.311</v>
      </c>
      <c r="K14" s="53"/>
      <c r="L14" s="54"/>
      <c r="M14" s="55"/>
      <c r="N14" s="12"/>
      <c r="O14" s="5"/>
    </row>
    <row r="15" spans="1:15" s="4" customFormat="1" ht="15" x14ac:dyDescent="0.2">
      <c r="A15" s="109"/>
      <c r="B15" s="49">
        <v>331</v>
      </c>
      <c r="C15" s="49" t="s">
        <v>13</v>
      </c>
      <c r="D15" s="50">
        <v>0.36</v>
      </c>
      <c r="E15" s="51" t="s">
        <v>5</v>
      </c>
      <c r="F15" s="81">
        <f t="shared" si="0"/>
        <v>0.36</v>
      </c>
      <c r="G15" s="52"/>
      <c r="H15" s="86"/>
      <c r="I15" s="55"/>
      <c r="J15" s="86">
        <f t="shared" si="1"/>
        <v>0.36</v>
      </c>
      <c r="K15" s="53"/>
      <c r="L15" s="54"/>
      <c r="M15" s="55"/>
      <c r="N15" s="12"/>
      <c r="O15" s="5"/>
    </row>
    <row r="16" spans="1:15" s="4" customFormat="1" ht="15" x14ac:dyDescent="0.2">
      <c r="A16" s="109"/>
      <c r="B16" s="49">
        <v>367</v>
      </c>
      <c r="C16" s="49" t="s">
        <v>13</v>
      </c>
      <c r="D16" s="50">
        <v>5.0999999999999997E-2</v>
      </c>
      <c r="E16" s="51" t="s">
        <v>15</v>
      </c>
      <c r="F16" s="81">
        <f t="shared" si="0"/>
        <v>5.0999999999999997E-2</v>
      </c>
      <c r="G16" s="52"/>
      <c r="H16" s="86"/>
      <c r="I16" s="55"/>
      <c r="J16" s="86"/>
      <c r="K16" s="53">
        <f>F16</f>
        <v>5.0999999999999997E-2</v>
      </c>
      <c r="L16" s="54"/>
      <c r="M16" s="55"/>
      <c r="N16" s="12"/>
      <c r="O16" s="5"/>
    </row>
    <row r="17" spans="1:16" s="4" customFormat="1" ht="15" x14ac:dyDescent="0.2">
      <c r="A17" s="109"/>
      <c r="B17" s="49">
        <v>375</v>
      </c>
      <c r="C17" s="49" t="s">
        <v>13</v>
      </c>
      <c r="D17" s="50">
        <v>0.83</v>
      </c>
      <c r="E17" s="51" t="s">
        <v>15</v>
      </c>
      <c r="F17" s="82">
        <v>0.112</v>
      </c>
      <c r="G17" s="91"/>
      <c r="H17" s="86"/>
      <c r="I17" s="101"/>
      <c r="J17" s="86"/>
      <c r="K17" s="61">
        <f>F17</f>
        <v>0.112</v>
      </c>
      <c r="L17" s="54"/>
      <c r="M17" s="55"/>
      <c r="N17" s="12"/>
      <c r="O17" s="5"/>
    </row>
    <row r="18" spans="1:16" s="4" customFormat="1" ht="15" x14ac:dyDescent="0.2">
      <c r="A18" s="109"/>
      <c r="B18" s="49">
        <v>376</v>
      </c>
      <c r="C18" s="49" t="s">
        <v>13</v>
      </c>
      <c r="D18" s="50">
        <v>4.7009999999999996</v>
      </c>
      <c r="E18" s="51" t="s">
        <v>15</v>
      </c>
      <c r="F18" s="82">
        <v>0.25600000000000001</v>
      </c>
      <c r="G18" s="91"/>
      <c r="H18" s="86"/>
      <c r="I18" s="101"/>
      <c r="J18" s="86"/>
      <c r="K18" s="61">
        <f>F18</f>
        <v>0.25600000000000001</v>
      </c>
      <c r="L18" s="54"/>
      <c r="M18" s="55"/>
      <c r="N18" s="12"/>
      <c r="O18" s="5"/>
    </row>
    <row r="19" spans="1:16" s="4" customFormat="1" ht="15" x14ac:dyDescent="0.2">
      <c r="A19" s="109"/>
      <c r="B19" s="49">
        <v>387</v>
      </c>
      <c r="C19" s="49" t="s">
        <v>13</v>
      </c>
      <c r="D19" s="50">
        <v>1.046</v>
      </c>
      <c r="E19" s="51" t="s">
        <v>15</v>
      </c>
      <c r="F19" s="83">
        <v>0.68300000000000005</v>
      </c>
      <c r="G19" s="91"/>
      <c r="H19" s="86"/>
      <c r="I19" s="101"/>
      <c r="J19" s="86"/>
      <c r="K19" s="61">
        <f>F19</f>
        <v>0.68300000000000005</v>
      </c>
      <c r="L19" s="54"/>
      <c r="M19" s="55"/>
      <c r="N19" s="12"/>
      <c r="O19" s="5"/>
    </row>
    <row r="20" spans="1:16" s="4" customFormat="1" ht="15" x14ac:dyDescent="0.2">
      <c r="A20" s="109"/>
      <c r="B20" s="49">
        <v>388</v>
      </c>
      <c r="C20" s="49" t="s">
        <v>13</v>
      </c>
      <c r="D20" s="50">
        <v>0.251</v>
      </c>
      <c r="E20" s="51" t="s">
        <v>5</v>
      </c>
      <c r="F20" s="83">
        <f>D20</f>
        <v>0.251</v>
      </c>
      <c r="G20" s="91"/>
      <c r="H20" s="86"/>
      <c r="I20" s="101"/>
      <c r="J20" s="86">
        <f>F20</f>
        <v>0.251</v>
      </c>
      <c r="K20" s="61"/>
      <c r="L20" s="54"/>
      <c r="M20" s="55"/>
      <c r="N20" s="12"/>
      <c r="O20" s="5"/>
    </row>
    <row r="21" spans="1:16" s="4" customFormat="1" ht="15" x14ac:dyDescent="0.2">
      <c r="A21" s="109"/>
      <c r="B21" s="49">
        <v>389</v>
      </c>
      <c r="C21" s="49" t="s">
        <v>13</v>
      </c>
      <c r="D21" s="50">
        <v>6.6719999999999997</v>
      </c>
      <c r="E21" s="51" t="s">
        <v>15</v>
      </c>
      <c r="F21" s="83">
        <v>3.7210000000000001</v>
      </c>
      <c r="G21" s="91"/>
      <c r="H21" s="86"/>
      <c r="I21" s="101"/>
      <c r="J21" s="86"/>
      <c r="K21" s="61">
        <f>F21</f>
        <v>3.7210000000000001</v>
      </c>
      <c r="L21" s="54"/>
      <c r="M21" s="55"/>
      <c r="N21" s="12"/>
      <c r="O21" s="5"/>
    </row>
    <row r="22" spans="1:16" s="4" customFormat="1" ht="15" x14ac:dyDescent="0.2">
      <c r="A22" s="109"/>
      <c r="B22" s="49">
        <v>390</v>
      </c>
      <c r="C22" s="49" t="s">
        <v>13</v>
      </c>
      <c r="D22" s="50">
        <v>1.7130000000000001</v>
      </c>
      <c r="E22" s="51" t="s">
        <v>15</v>
      </c>
      <c r="F22" s="83">
        <v>0.76200000000000001</v>
      </c>
      <c r="G22" s="91"/>
      <c r="H22" s="86"/>
      <c r="I22" s="101"/>
      <c r="J22" s="86"/>
      <c r="K22" s="61">
        <f>F22</f>
        <v>0.76200000000000001</v>
      </c>
      <c r="L22" s="54"/>
      <c r="M22" s="55"/>
      <c r="N22" s="12"/>
      <c r="O22" s="5"/>
    </row>
    <row r="23" spans="1:16" s="4" customFormat="1" ht="15" x14ac:dyDescent="0.2">
      <c r="A23" s="109"/>
      <c r="B23" s="18">
        <v>391</v>
      </c>
      <c r="C23" s="18" t="s">
        <v>13</v>
      </c>
      <c r="D23" s="50">
        <v>0.77</v>
      </c>
      <c r="E23" s="51" t="s">
        <v>15</v>
      </c>
      <c r="F23" s="82">
        <v>2.7E-2</v>
      </c>
      <c r="G23" s="91"/>
      <c r="H23" s="86"/>
      <c r="I23" s="101"/>
      <c r="J23" s="86"/>
      <c r="K23" s="61">
        <f>F23</f>
        <v>2.7E-2</v>
      </c>
      <c r="L23" s="54"/>
      <c r="M23" s="55"/>
      <c r="N23" s="12"/>
      <c r="O23" s="5"/>
    </row>
    <row r="24" spans="1:16" s="4" customFormat="1" ht="15.75" thickBot="1" x14ac:dyDescent="0.25">
      <c r="A24" s="110"/>
      <c r="B24" s="72">
        <v>408</v>
      </c>
      <c r="C24" s="72" t="s">
        <v>13</v>
      </c>
      <c r="D24" s="73">
        <v>41.283000000000001</v>
      </c>
      <c r="E24" s="74" t="s">
        <v>14</v>
      </c>
      <c r="F24" s="84">
        <v>0.30499999999999999</v>
      </c>
      <c r="G24" s="92">
        <f>F24</f>
        <v>0.30499999999999999</v>
      </c>
      <c r="H24" s="87"/>
      <c r="I24" s="102"/>
      <c r="J24" s="96"/>
      <c r="K24" s="75"/>
      <c r="L24" s="76"/>
      <c r="M24" s="77"/>
      <c r="N24" s="78"/>
      <c r="O24" s="5"/>
    </row>
    <row r="25" spans="1:16" s="4" customFormat="1" ht="15" x14ac:dyDescent="0.2">
      <c r="A25" s="111">
        <v>1967</v>
      </c>
      <c r="B25" s="65">
        <v>1</v>
      </c>
      <c r="C25" s="65" t="s">
        <v>13</v>
      </c>
      <c r="D25" s="66">
        <v>18.314</v>
      </c>
      <c r="E25" s="80" t="s">
        <v>2</v>
      </c>
      <c r="F25" s="85">
        <v>5.87</v>
      </c>
      <c r="G25" s="67"/>
      <c r="H25" s="88">
        <f>F25</f>
        <v>5.87</v>
      </c>
      <c r="I25" s="70"/>
      <c r="J25" s="88"/>
      <c r="K25" s="68"/>
      <c r="L25" s="69"/>
      <c r="M25" s="70"/>
      <c r="N25" s="71"/>
      <c r="O25" s="5"/>
      <c r="P25" s="47"/>
    </row>
    <row r="26" spans="1:16" s="4" customFormat="1" ht="15" x14ac:dyDescent="0.2">
      <c r="A26" s="109"/>
      <c r="B26" s="18">
        <v>6</v>
      </c>
      <c r="C26" s="18" t="s">
        <v>13</v>
      </c>
      <c r="D26" s="46">
        <v>32.1</v>
      </c>
      <c r="E26" s="51" t="s">
        <v>14</v>
      </c>
      <c r="F26" s="81">
        <v>6.3289999999999997</v>
      </c>
      <c r="G26" s="52">
        <f>F26</f>
        <v>6.3289999999999997</v>
      </c>
      <c r="H26" s="86"/>
      <c r="I26" s="55"/>
      <c r="J26" s="86"/>
      <c r="K26" s="53"/>
      <c r="L26" s="54"/>
      <c r="M26" s="55"/>
      <c r="N26" s="12"/>
      <c r="O26" s="5"/>
    </row>
    <row r="27" spans="1:16" s="4" customFormat="1" ht="15" x14ac:dyDescent="0.2">
      <c r="A27" s="109"/>
      <c r="B27" s="18">
        <v>7</v>
      </c>
      <c r="C27" s="18" t="s">
        <v>13</v>
      </c>
      <c r="D27" s="46">
        <v>27.463000000000001</v>
      </c>
      <c r="E27" s="51" t="s">
        <v>14</v>
      </c>
      <c r="F27" s="81">
        <v>5.1509999999999998</v>
      </c>
      <c r="G27" s="52">
        <f>F27</f>
        <v>5.1509999999999998</v>
      </c>
      <c r="H27" s="86"/>
      <c r="I27" s="55"/>
      <c r="J27" s="86"/>
      <c r="K27" s="53"/>
      <c r="L27" s="54"/>
      <c r="M27" s="55"/>
      <c r="N27" s="12"/>
      <c r="O27" s="5"/>
    </row>
    <row r="28" spans="1:16" s="4" customFormat="1" ht="15" x14ac:dyDescent="0.2">
      <c r="A28" s="109"/>
      <c r="B28" s="18">
        <v>8</v>
      </c>
      <c r="C28" s="18" t="s">
        <v>13</v>
      </c>
      <c r="D28" s="46">
        <v>96.900999999999996</v>
      </c>
      <c r="E28" s="51" t="s">
        <v>6</v>
      </c>
      <c r="F28" s="81">
        <v>12.715999999999999</v>
      </c>
      <c r="G28" s="52"/>
      <c r="H28" s="86"/>
      <c r="I28" s="55"/>
      <c r="J28" s="86"/>
      <c r="K28" s="53"/>
      <c r="L28" s="54">
        <f>F28</f>
        <v>12.715999999999999</v>
      </c>
      <c r="M28" s="55"/>
      <c r="N28" s="12"/>
      <c r="O28" s="5"/>
    </row>
    <row r="29" spans="1:16" s="4" customFormat="1" ht="15" x14ac:dyDescent="0.2">
      <c r="A29" s="109"/>
      <c r="B29" s="18">
        <v>9</v>
      </c>
      <c r="C29" s="18" t="s">
        <v>13</v>
      </c>
      <c r="D29" s="46">
        <v>2.3820000000000001</v>
      </c>
      <c r="E29" s="11" t="s">
        <v>14</v>
      </c>
      <c r="F29" s="81">
        <f>D29</f>
        <v>2.3820000000000001</v>
      </c>
      <c r="G29" s="52">
        <f>F29</f>
        <v>2.3820000000000001</v>
      </c>
      <c r="H29" s="86"/>
      <c r="I29" s="55"/>
      <c r="J29" s="86"/>
      <c r="K29" s="53"/>
      <c r="L29" s="54"/>
      <c r="M29" s="55"/>
      <c r="N29" s="12"/>
      <c r="O29" s="5"/>
    </row>
    <row r="30" spans="1:16" s="4" customFormat="1" ht="15" x14ac:dyDescent="0.2">
      <c r="A30" s="109"/>
      <c r="B30" s="18">
        <v>11</v>
      </c>
      <c r="C30" s="18" t="s">
        <v>13</v>
      </c>
      <c r="D30" s="46">
        <v>26.338000000000001</v>
      </c>
      <c r="E30" s="11" t="s">
        <v>14</v>
      </c>
      <c r="F30" s="81">
        <v>18.215</v>
      </c>
      <c r="G30" s="52">
        <f>F30</f>
        <v>18.215</v>
      </c>
      <c r="H30" s="86"/>
      <c r="I30" s="55"/>
      <c r="J30" s="86"/>
      <c r="K30" s="53"/>
      <c r="L30" s="54"/>
      <c r="M30" s="55"/>
      <c r="N30" s="12"/>
      <c r="O30" s="5"/>
    </row>
    <row r="31" spans="1:16" s="4" customFormat="1" ht="15" x14ac:dyDescent="0.2">
      <c r="A31" s="109"/>
      <c r="B31" s="18">
        <v>12</v>
      </c>
      <c r="C31" s="18" t="s">
        <v>13</v>
      </c>
      <c r="D31" s="46">
        <v>8.2460000000000004</v>
      </c>
      <c r="E31" s="11" t="s">
        <v>14</v>
      </c>
      <c r="F31" s="81">
        <f>D31</f>
        <v>8.2460000000000004</v>
      </c>
      <c r="G31" s="52">
        <f>F31</f>
        <v>8.2460000000000004</v>
      </c>
      <c r="H31" s="86"/>
      <c r="I31" s="55"/>
      <c r="J31" s="86"/>
      <c r="K31" s="53"/>
      <c r="L31" s="54"/>
      <c r="M31" s="55"/>
      <c r="N31" s="12"/>
      <c r="O31" s="5"/>
    </row>
    <row r="32" spans="1:16" s="4" customFormat="1" ht="15" x14ac:dyDescent="0.2">
      <c r="A32" s="109"/>
      <c r="B32" s="18">
        <v>13</v>
      </c>
      <c r="C32" s="18" t="s">
        <v>13</v>
      </c>
      <c r="D32" s="46">
        <v>18.988</v>
      </c>
      <c r="E32" s="11" t="s">
        <v>4</v>
      </c>
      <c r="F32" s="81">
        <v>18.841000000000001</v>
      </c>
      <c r="G32" s="52"/>
      <c r="H32" s="86"/>
      <c r="I32" s="55">
        <f>F32</f>
        <v>18.841000000000001</v>
      </c>
      <c r="J32" s="86"/>
      <c r="K32" s="53"/>
      <c r="L32" s="54"/>
      <c r="M32" s="55"/>
      <c r="N32" s="12"/>
      <c r="O32" s="5"/>
    </row>
    <row r="33" spans="1:16" s="4" customFormat="1" ht="15" x14ac:dyDescent="0.2">
      <c r="A33" s="109"/>
      <c r="B33" s="18">
        <v>14</v>
      </c>
      <c r="C33" s="18" t="s">
        <v>13</v>
      </c>
      <c r="D33" s="46">
        <v>3.9740000000000002</v>
      </c>
      <c r="E33" s="11" t="s">
        <v>14</v>
      </c>
      <c r="F33" s="81">
        <f>D33</f>
        <v>3.9740000000000002</v>
      </c>
      <c r="G33" s="52">
        <f>F33</f>
        <v>3.9740000000000002</v>
      </c>
      <c r="H33" s="86"/>
      <c r="I33" s="55"/>
      <c r="J33" s="86"/>
      <c r="K33" s="53"/>
      <c r="L33" s="54"/>
      <c r="M33" s="55"/>
      <c r="N33" s="12"/>
      <c r="O33" s="5"/>
    </row>
    <row r="34" spans="1:16" s="4" customFormat="1" ht="15" x14ac:dyDescent="0.2">
      <c r="A34" s="109"/>
      <c r="B34" s="18">
        <v>15</v>
      </c>
      <c r="C34" s="18" t="s">
        <v>13</v>
      </c>
      <c r="D34" s="46">
        <v>29.504000000000001</v>
      </c>
      <c r="E34" s="11" t="s">
        <v>14</v>
      </c>
      <c r="F34" s="81">
        <f>D34</f>
        <v>29.504000000000001</v>
      </c>
      <c r="G34" s="52">
        <f>F34</f>
        <v>29.504000000000001</v>
      </c>
      <c r="H34" s="86"/>
      <c r="I34" s="55"/>
      <c r="J34" s="86"/>
      <c r="K34" s="53"/>
      <c r="L34" s="54"/>
      <c r="M34" s="55"/>
      <c r="N34" s="12"/>
      <c r="O34" s="5"/>
    </row>
    <row r="35" spans="1:16" s="4" customFormat="1" ht="15" x14ac:dyDescent="0.2">
      <c r="A35" s="109"/>
      <c r="B35" s="18">
        <v>16</v>
      </c>
      <c r="C35" s="18" t="s">
        <v>13</v>
      </c>
      <c r="D35" s="46">
        <v>22.006</v>
      </c>
      <c r="E35" s="11" t="s">
        <v>14</v>
      </c>
      <c r="F35" s="81">
        <f>D35</f>
        <v>22.006</v>
      </c>
      <c r="G35" s="52">
        <f>F35</f>
        <v>22.006</v>
      </c>
      <c r="H35" s="86"/>
      <c r="I35" s="55"/>
      <c r="J35" s="86"/>
      <c r="K35" s="53"/>
      <c r="L35" s="54"/>
      <c r="M35" s="55"/>
      <c r="N35" s="12"/>
      <c r="O35" s="5"/>
    </row>
    <row r="36" spans="1:16" s="4" customFormat="1" ht="15" x14ac:dyDescent="0.2">
      <c r="A36" s="109"/>
      <c r="B36" s="18">
        <v>17</v>
      </c>
      <c r="C36" s="18" t="s">
        <v>13</v>
      </c>
      <c r="D36" s="46">
        <v>41.351999999999997</v>
      </c>
      <c r="E36" s="11" t="s">
        <v>14</v>
      </c>
      <c r="F36" s="81">
        <v>36.82</v>
      </c>
      <c r="G36" s="52">
        <f>F36</f>
        <v>36.82</v>
      </c>
      <c r="H36" s="86"/>
      <c r="I36" s="55"/>
      <c r="J36" s="86"/>
      <c r="K36" s="53"/>
      <c r="L36" s="54"/>
      <c r="M36" s="55"/>
      <c r="N36" s="12"/>
      <c r="O36" s="5"/>
    </row>
    <row r="37" spans="1:16" s="4" customFormat="1" ht="15" x14ac:dyDescent="0.2">
      <c r="A37" s="109"/>
      <c r="B37" s="18">
        <v>18</v>
      </c>
      <c r="C37" s="18" t="s">
        <v>13</v>
      </c>
      <c r="D37" s="46">
        <v>15.308999999999999</v>
      </c>
      <c r="E37" s="11" t="s">
        <v>14</v>
      </c>
      <c r="F37" s="81">
        <v>14.945</v>
      </c>
      <c r="G37" s="52">
        <f>F37</f>
        <v>14.945</v>
      </c>
      <c r="H37" s="86"/>
      <c r="I37" s="55"/>
      <c r="J37" s="86"/>
      <c r="K37" s="53"/>
      <c r="L37" s="54"/>
      <c r="M37" s="55"/>
      <c r="N37" s="12"/>
      <c r="O37" s="5"/>
    </row>
    <row r="38" spans="1:16" s="4" customFormat="1" ht="15" x14ac:dyDescent="0.2">
      <c r="A38" s="109"/>
      <c r="B38" s="18">
        <v>19</v>
      </c>
      <c r="C38" s="18" t="s">
        <v>23</v>
      </c>
      <c r="D38" s="46">
        <v>11.667</v>
      </c>
      <c r="E38" s="51" t="s">
        <v>24</v>
      </c>
      <c r="F38" s="81">
        <v>3.7440000000000002</v>
      </c>
      <c r="G38" s="52"/>
      <c r="H38" s="86"/>
      <c r="I38" s="55"/>
      <c r="J38" s="86"/>
      <c r="K38" s="53"/>
      <c r="L38" s="54"/>
      <c r="M38" s="55">
        <f>F38</f>
        <v>3.7440000000000002</v>
      </c>
      <c r="N38" s="12"/>
      <c r="O38" s="5"/>
    </row>
    <row r="39" spans="1:16" s="4" customFormat="1" ht="15" x14ac:dyDescent="0.2">
      <c r="A39" s="109"/>
      <c r="B39" s="18">
        <v>20</v>
      </c>
      <c r="C39" s="18" t="s">
        <v>13</v>
      </c>
      <c r="D39" s="46">
        <v>13.75</v>
      </c>
      <c r="E39" s="51" t="s">
        <v>14</v>
      </c>
      <c r="F39" s="81">
        <v>0.624</v>
      </c>
      <c r="G39" s="52">
        <f>F39</f>
        <v>0.624</v>
      </c>
      <c r="H39" s="86"/>
      <c r="I39" s="55"/>
      <c r="J39" s="86"/>
      <c r="K39" s="53"/>
      <c r="L39" s="54"/>
      <c r="M39" s="55"/>
      <c r="N39" s="12"/>
      <c r="O39" s="5"/>
    </row>
    <row r="40" spans="1:16" s="4" customFormat="1" ht="15" x14ac:dyDescent="0.2">
      <c r="A40" s="109"/>
      <c r="B40" s="18">
        <v>28</v>
      </c>
      <c r="C40" s="18" t="s">
        <v>13</v>
      </c>
      <c r="D40" s="46">
        <v>13.641</v>
      </c>
      <c r="E40" s="51" t="s">
        <v>16</v>
      </c>
      <c r="F40" s="81">
        <f>D40</f>
        <v>13.641</v>
      </c>
      <c r="G40" s="52">
        <f>0.2*F40</f>
        <v>2.7282000000000002</v>
      </c>
      <c r="H40" s="86"/>
      <c r="I40" s="55">
        <f>0.8*F40</f>
        <v>10.912800000000001</v>
      </c>
      <c r="J40" s="86"/>
      <c r="K40" s="53"/>
      <c r="L40" s="54"/>
      <c r="M40" s="55"/>
      <c r="N40" s="12"/>
      <c r="O40" s="5"/>
    </row>
    <row r="41" spans="1:16" s="4" customFormat="1" ht="15" x14ac:dyDescent="0.2">
      <c r="A41" s="109"/>
      <c r="B41" s="18">
        <v>31</v>
      </c>
      <c r="C41" s="18" t="s">
        <v>13</v>
      </c>
      <c r="D41" s="46">
        <v>2.165</v>
      </c>
      <c r="E41" s="11" t="s">
        <v>14</v>
      </c>
      <c r="F41" s="81">
        <v>1.4590000000000001</v>
      </c>
      <c r="G41" s="52">
        <f>F41</f>
        <v>1.4590000000000001</v>
      </c>
      <c r="H41" s="86"/>
      <c r="I41" s="55"/>
      <c r="J41" s="86"/>
      <c r="K41" s="53"/>
      <c r="L41" s="54"/>
      <c r="M41" s="55"/>
      <c r="N41" s="12"/>
      <c r="O41" s="5"/>
    </row>
    <row r="42" spans="1:16" s="4" customFormat="1" ht="15.75" thickBot="1" x14ac:dyDescent="0.25">
      <c r="A42" s="110"/>
      <c r="B42" s="18">
        <v>35</v>
      </c>
      <c r="C42" s="18" t="s">
        <v>13</v>
      </c>
      <c r="D42" s="46">
        <v>61.685000000000002</v>
      </c>
      <c r="E42" s="11" t="s">
        <v>2</v>
      </c>
      <c r="F42" s="81">
        <v>3.032</v>
      </c>
      <c r="G42" s="52"/>
      <c r="H42" s="86">
        <f>F42</f>
        <v>3.032</v>
      </c>
      <c r="I42" s="55"/>
      <c r="J42" s="86"/>
      <c r="K42" s="53"/>
      <c r="L42" s="54"/>
      <c r="M42" s="55"/>
      <c r="N42" s="12" t="s">
        <v>7</v>
      </c>
      <c r="O42" s="5"/>
    </row>
    <row r="43" spans="1:16" s="1" customFormat="1" ht="15" x14ac:dyDescent="0.25">
      <c r="A43" s="25"/>
      <c r="B43" s="26"/>
      <c r="C43" s="26"/>
      <c r="D43" s="27"/>
      <c r="E43" s="26"/>
      <c r="F43" s="59">
        <f t="shared" ref="F43:M43" si="2">SUM(F3:F42)</f>
        <v>261.52799999999996</v>
      </c>
      <c r="G43" s="56">
        <f t="shared" si="2"/>
        <v>192.74119999999999</v>
      </c>
      <c r="H43" s="89">
        <f t="shared" si="2"/>
        <v>10.579000000000001</v>
      </c>
      <c r="I43" s="58">
        <f t="shared" si="2"/>
        <v>29.753800000000002</v>
      </c>
      <c r="J43" s="89">
        <f t="shared" si="2"/>
        <v>1.7370000000000001</v>
      </c>
      <c r="K43" s="57">
        <f t="shared" si="2"/>
        <v>10.257</v>
      </c>
      <c r="L43" s="58">
        <f t="shared" si="2"/>
        <v>12.715999999999999</v>
      </c>
      <c r="M43" s="58">
        <f t="shared" si="2"/>
        <v>3.7440000000000002</v>
      </c>
      <c r="N43" s="13"/>
      <c r="O43" s="2"/>
      <c r="P43" s="62"/>
    </row>
    <row r="44" spans="1:16" ht="15.75" thickBot="1" x14ac:dyDescent="0.3">
      <c r="A44" s="19"/>
      <c r="B44" s="20"/>
      <c r="C44" s="20"/>
      <c r="D44" s="21"/>
      <c r="E44" s="21"/>
      <c r="F44" s="22">
        <f>SUM(G44:M44)</f>
        <v>1.0000000000000002</v>
      </c>
      <c r="G44" s="93">
        <f>G43/F43</f>
        <v>0.7369811263038758</v>
      </c>
      <c r="H44" s="90">
        <f>H43/F43</f>
        <v>4.045073567648589E-2</v>
      </c>
      <c r="I44" s="103">
        <f>I43/F43</f>
        <v>0.11376908017497173</v>
      </c>
      <c r="J44" s="97">
        <f>J43/F43</f>
        <v>6.6417362576856025E-3</v>
      </c>
      <c r="K44" s="23">
        <f>K43/F43</f>
        <v>3.9219509956868868E-2</v>
      </c>
      <c r="L44" s="24">
        <f>L43/F43</f>
        <v>4.8621944877795115E-2</v>
      </c>
      <c r="M44" s="24">
        <f>M43/F43</f>
        <v>1.4315866752317155E-2</v>
      </c>
      <c r="N44" s="14"/>
      <c r="P44" s="63"/>
    </row>
    <row r="45" spans="1:16" ht="11.25" customHeight="1" thickBot="1" x14ac:dyDescent="0.3">
      <c r="A45" s="64"/>
      <c r="B45" s="28"/>
      <c r="C45" s="28"/>
      <c r="D45" s="29"/>
      <c r="E45" s="29"/>
      <c r="F45" s="30"/>
      <c r="G45" s="31"/>
      <c r="H45" s="31"/>
      <c r="I45" s="31"/>
      <c r="J45" s="31"/>
      <c r="K45" s="31"/>
      <c r="L45" s="31"/>
      <c r="M45" s="31"/>
      <c r="N45" s="29"/>
    </row>
    <row r="46" spans="1:16" ht="15" x14ac:dyDescent="0.25">
      <c r="A46" s="35"/>
      <c r="B46" s="36"/>
      <c r="C46" s="36"/>
      <c r="D46" s="37"/>
      <c r="E46" s="37"/>
      <c r="F46" s="60">
        <f>SUM(G43:I43)</f>
        <v>233.07400000000001</v>
      </c>
      <c r="G46" s="104">
        <f>G43</f>
        <v>192.74119999999999</v>
      </c>
      <c r="H46" s="60">
        <f>H43</f>
        <v>10.579000000000001</v>
      </c>
      <c r="I46" s="105">
        <f>I43</f>
        <v>29.753800000000002</v>
      </c>
      <c r="J46" s="60"/>
      <c r="K46" s="38"/>
      <c r="L46" s="38"/>
      <c r="M46" s="38"/>
      <c r="N46" s="39"/>
    </row>
    <row r="47" spans="1:16" ht="15.75" thickBot="1" x14ac:dyDescent="0.3">
      <c r="A47" s="40"/>
      <c r="B47" s="41"/>
      <c r="C47" s="41"/>
      <c r="D47" s="42"/>
      <c r="E47" s="42"/>
      <c r="F47" s="43">
        <f>SUM(G47:I47)</f>
        <v>0.99999999999999989</v>
      </c>
      <c r="G47" s="106">
        <f>G46/F46</f>
        <v>0.82695281326960524</v>
      </c>
      <c r="H47" s="44">
        <f>H46/F46</f>
        <v>4.5389018080094733E-2</v>
      </c>
      <c r="I47" s="107">
        <f>I46/F46</f>
        <v>0.12765816865029991</v>
      </c>
      <c r="J47" s="44"/>
      <c r="K47" s="44"/>
      <c r="L47" s="44"/>
      <c r="M47" s="44"/>
      <c r="N47" s="45"/>
    </row>
    <row r="48" spans="1:16" x14ac:dyDescent="0.2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</row>
    <row r="49" spans="1:14" x14ac:dyDescent="0.2">
      <c r="A49" t="s">
        <v>25</v>
      </c>
      <c r="B49" s="112" t="s">
        <v>26</v>
      </c>
      <c r="C49" s="112"/>
      <c r="D49" s="112"/>
      <c r="E49" s="112"/>
      <c r="F49" s="94"/>
      <c r="G49" s="17"/>
      <c r="H49" s="16"/>
      <c r="I49" s="15"/>
      <c r="J49" s="15"/>
      <c r="K49" s="15"/>
      <c r="L49" s="15"/>
      <c r="M49" s="15"/>
      <c r="N49" s="15"/>
    </row>
    <row r="50" spans="1:14" x14ac:dyDescent="0.2">
      <c r="G50" s="7"/>
      <c r="H50" s="6"/>
    </row>
    <row r="51" spans="1:14" x14ac:dyDescent="0.2">
      <c r="G51" s="7"/>
      <c r="H51" s="6"/>
    </row>
    <row r="52" spans="1:14" x14ac:dyDescent="0.2">
      <c r="G52" s="7"/>
      <c r="H52" s="6"/>
    </row>
    <row r="53" spans="1:14" x14ac:dyDescent="0.2">
      <c r="F53" s="48"/>
    </row>
  </sheetData>
  <mergeCells count="7">
    <mergeCell ref="A3:A24"/>
    <mergeCell ref="A25:A42"/>
    <mergeCell ref="B49:E49"/>
    <mergeCell ref="N1:N2"/>
    <mergeCell ref="A1:E1"/>
    <mergeCell ref="F1:F2"/>
    <mergeCell ref="G1:M1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66" orientation="landscape" r:id="rId1"/>
  <headerFooter>
    <oddHeader xml:space="preserve">&amp;C&amp;"-,מודגש"&amp;12טבלת פירוט בעלויות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TANATBO</cp:lastModifiedBy>
  <cp:lastPrinted>2019-11-06T13:15:40Z</cp:lastPrinted>
  <dcterms:created xsi:type="dcterms:W3CDTF">2019-05-19T14:33:23Z</dcterms:created>
  <dcterms:modified xsi:type="dcterms:W3CDTF">2019-12-12T13:22:09Z</dcterms:modified>
</cp:coreProperties>
</file>