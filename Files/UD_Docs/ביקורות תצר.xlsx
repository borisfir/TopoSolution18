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20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A1" i="1" l="1" a="1"/>
  <c r="N323" i="1" s="1"/>
  <c r="Q351" i="1" l="1"/>
  <c r="J351" i="1"/>
  <c r="B351" i="1"/>
  <c r="L350" i="1"/>
  <c r="F350" i="1"/>
  <c r="O349" i="1"/>
  <c r="H349" i="1"/>
  <c r="A349" i="1"/>
  <c r="J348" i="1"/>
  <c r="D348" i="1"/>
  <c r="N347" i="1"/>
  <c r="F347" i="1"/>
  <c r="P346" i="1"/>
  <c r="J346" i="1"/>
  <c r="B346" i="1"/>
  <c r="L345" i="1"/>
  <c r="E345" i="1"/>
  <c r="N344" i="1"/>
  <c r="H344" i="1"/>
  <c r="A344" i="1"/>
  <c r="J343" i="1"/>
  <c r="C343" i="1"/>
  <c r="N342" i="1"/>
  <c r="F342" i="1"/>
  <c r="P341" i="1"/>
  <c r="I341" i="1"/>
  <c r="A341" i="1"/>
  <c r="L340" i="1"/>
  <c r="E340" i="1"/>
  <c r="N339" i="1"/>
  <c r="G339" i="1"/>
  <c r="A339" i="1"/>
  <c r="J338" i="1"/>
  <c r="C338" i="1"/>
  <c r="M337" i="1"/>
  <c r="E337" i="1"/>
  <c r="P336" i="1"/>
  <c r="I336" i="1"/>
  <c r="A336" i="1"/>
  <c r="J335" i="1"/>
  <c r="B335" i="1"/>
  <c r="I334" i="1"/>
  <c r="P333" i="1"/>
  <c r="G333" i="1"/>
  <c r="M332" i="1"/>
  <c r="E332" i="1"/>
  <c r="M331" i="1"/>
  <c r="B331" i="1"/>
  <c r="J330" i="1"/>
  <c r="B330" i="1"/>
  <c r="H329" i="1"/>
  <c r="P328" i="1"/>
  <c r="G328" i="1"/>
  <c r="M327" i="1"/>
  <c r="E327" i="1"/>
  <c r="M326" i="1"/>
  <c r="B326" i="1"/>
  <c r="B325" i="1"/>
  <c r="F323" i="1"/>
  <c r="K351" i="1"/>
  <c r="G350" i="1"/>
  <c r="I349" i="1"/>
  <c r="E348" i="1"/>
  <c r="O351" i="1"/>
  <c r="G351" i="1"/>
  <c r="A351" i="1"/>
  <c r="K350" i="1"/>
  <c r="C350" i="1"/>
  <c r="M349" i="1"/>
  <c r="G349" i="1"/>
  <c r="P348" i="1"/>
  <c r="I348" i="1"/>
  <c r="B348" i="1"/>
  <c r="K347" i="1"/>
  <c r="E347" i="1"/>
  <c r="O346" i="1"/>
  <c r="G346" i="1"/>
  <c r="Q345" i="1"/>
  <c r="K345" i="1"/>
  <c r="C345" i="1"/>
  <c r="M344" i="1"/>
  <c r="F344" i="1"/>
  <c r="O343" i="1"/>
  <c r="I343" i="1"/>
  <c r="B343" i="1"/>
  <c r="K342" i="1"/>
  <c r="D342" i="1"/>
  <c r="O341" i="1"/>
  <c r="G341" i="1"/>
  <c r="Q340" i="1"/>
  <c r="J340" i="1"/>
  <c r="B340" i="1"/>
  <c r="M339" i="1"/>
  <c r="F339" i="1"/>
  <c r="O338" i="1"/>
  <c r="H338" i="1"/>
  <c r="B338" i="1"/>
  <c r="K337" i="1"/>
  <c r="D337" i="1"/>
  <c r="N336" i="1"/>
  <c r="F336" i="1"/>
  <c r="Q335" i="1"/>
  <c r="I335" i="1"/>
  <c r="O334" i="1"/>
  <c r="F334" i="1"/>
  <c r="O333" i="1"/>
  <c r="D333" i="1"/>
  <c r="L332" i="1"/>
  <c r="C332" i="1"/>
  <c r="I331" i="1"/>
  <c r="A331" i="1"/>
  <c r="I330" i="1"/>
  <c r="O329" i="1"/>
  <c r="F329" i="1"/>
  <c r="O328" i="1"/>
  <c r="D328" i="1"/>
  <c r="L327" i="1"/>
  <c r="B327" i="1"/>
  <c r="I326" i="1"/>
  <c r="A326" i="1"/>
  <c r="K324" i="1"/>
  <c r="Q322" i="1"/>
  <c r="N350" i="1"/>
  <c r="Q349" i="1"/>
  <c r="M348" i="1"/>
  <c r="M351" i="1"/>
  <c r="F351" i="1"/>
  <c r="P350" i="1"/>
  <c r="H350" i="1"/>
  <c r="B350" i="1"/>
  <c r="L349" i="1"/>
  <c r="D349" i="1"/>
  <c r="N348" i="1"/>
  <c r="H348" i="1"/>
  <c r="Q347" i="1"/>
  <c r="J347" i="1"/>
  <c r="C347" i="1"/>
  <c r="L346" i="1"/>
  <c r="F346" i="1"/>
  <c r="P345" i="1"/>
  <c r="H345" i="1"/>
  <c r="A345" i="1"/>
  <c r="L344" i="1"/>
  <c r="D344" i="1"/>
  <c r="N343" i="1"/>
  <c r="G343" i="1"/>
  <c r="P342" i="1"/>
  <c r="J342" i="1"/>
  <c r="C342" i="1"/>
  <c r="L341" i="1"/>
  <c r="E341" i="1"/>
  <c r="P340" i="1"/>
  <c r="H340" i="1"/>
  <c r="A340" i="1"/>
  <c r="K339" i="1"/>
  <c r="C339" i="1"/>
  <c r="N338" i="1"/>
  <c r="G338" i="1"/>
  <c r="P337" i="1"/>
  <c r="I337" i="1"/>
  <c r="C337" i="1"/>
  <c r="L336" i="1"/>
  <c r="E336" i="1"/>
  <c r="O335" i="1"/>
  <c r="E335" i="1"/>
  <c r="N334" i="1"/>
  <c r="E334" i="1"/>
  <c r="K333" i="1"/>
  <c r="B333" i="1"/>
  <c r="K332" i="1"/>
  <c r="Q331" i="1"/>
  <c r="H331" i="1"/>
  <c r="O330" i="1"/>
  <c r="E330" i="1"/>
  <c r="N329" i="1"/>
  <c r="D329" i="1"/>
  <c r="K328" i="1"/>
  <c r="A328" i="1"/>
  <c r="J327" i="1"/>
  <c r="Q326" i="1"/>
  <c r="G326" i="1"/>
  <c r="O325" i="1"/>
  <c r="D324" i="1"/>
  <c r="J322" i="1"/>
  <c r="E351" i="1"/>
  <c r="C349" i="1"/>
  <c r="O347" i="1"/>
  <c r="I347" i="1"/>
  <c r="A347" i="1"/>
  <c r="K346" i="1"/>
  <c r="D346" i="1"/>
  <c r="M345" i="1"/>
  <c r="G345" i="1"/>
  <c r="Q344" i="1"/>
  <c r="I344" i="1"/>
  <c r="B344" i="1"/>
  <c r="M343" i="1"/>
  <c r="E343" i="1"/>
  <c r="O342" i="1"/>
  <c r="H342" i="1"/>
  <c r="Q341" i="1"/>
  <c r="K341" i="1"/>
  <c r="D341" i="1"/>
  <c r="M340" i="1"/>
  <c r="F340" i="1"/>
  <c r="Q339" i="1"/>
  <c r="I339" i="1"/>
  <c r="B339" i="1"/>
  <c r="L338" i="1"/>
  <c r="D338" i="1"/>
  <c r="O337" i="1"/>
  <c r="H337" i="1"/>
  <c r="Q336" i="1"/>
  <c r="J336" i="1"/>
  <c r="D336" i="1"/>
  <c r="M335" i="1"/>
  <c r="D335" i="1"/>
  <c r="K334" i="1"/>
  <c r="A334" i="1"/>
  <c r="J333" i="1"/>
  <c r="Q332" i="1"/>
  <c r="G332" i="1"/>
  <c r="N331" i="1"/>
  <c r="F331" i="1"/>
  <c r="M330" i="1"/>
  <c r="C330" i="1"/>
  <c r="K329" i="1"/>
  <c r="Q328" i="1"/>
  <c r="I328" i="1"/>
  <c r="Q327" i="1"/>
  <c r="F327" i="1"/>
  <c r="N326" i="1"/>
  <c r="F326" i="1"/>
  <c r="H325" i="1"/>
  <c r="P277" i="1"/>
  <c r="M279" i="1"/>
  <c r="H280" i="1"/>
  <c r="F281" i="1"/>
  <c r="A282" i="1"/>
  <c r="K282" i="1"/>
  <c r="I283" i="1"/>
  <c r="D284" i="1"/>
  <c r="Q284" i="1"/>
  <c r="J285" i="1"/>
  <c r="P285" i="1"/>
  <c r="F286" i="1"/>
  <c r="N286" i="1"/>
  <c r="D287" i="1"/>
  <c r="J287" i="1"/>
  <c r="A288" i="1"/>
  <c r="H288" i="1"/>
  <c r="O288" i="1"/>
  <c r="F289" i="1"/>
  <c r="L289" i="1"/>
  <c r="B290" i="1"/>
  <c r="J290" i="1"/>
  <c r="Q290" i="1"/>
  <c r="F291" i="1"/>
  <c r="N291" i="1"/>
  <c r="D292" i="1"/>
  <c r="K292" i="1"/>
  <c r="B293" i="1"/>
  <c r="H293" i="1"/>
  <c r="O293" i="1"/>
  <c r="F294" i="1"/>
  <c r="M294" i="1"/>
  <c r="B295" i="1"/>
  <c r="J295" i="1"/>
  <c r="Q295" i="1"/>
  <c r="G296" i="1"/>
  <c r="O296" i="1"/>
  <c r="D297" i="1"/>
  <c r="K297" i="1"/>
  <c r="B298" i="1"/>
  <c r="I298" i="1"/>
  <c r="O298" i="1"/>
  <c r="F299" i="1"/>
  <c r="M299" i="1"/>
  <c r="C300" i="1"/>
  <c r="K300" i="1"/>
  <c r="Q300" i="1"/>
  <c r="G301" i="1"/>
  <c r="O301" i="1"/>
  <c r="E302" i="1"/>
  <c r="K302" i="1"/>
  <c r="B303" i="1"/>
  <c r="I303" i="1"/>
  <c r="P303" i="1"/>
  <c r="G304" i="1"/>
  <c r="M304" i="1"/>
  <c r="C305" i="1"/>
  <c r="K305" i="1"/>
  <c r="A306" i="1"/>
  <c r="G306" i="1"/>
  <c r="O306" i="1"/>
  <c r="E307" i="1"/>
  <c r="L307" i="1"/>
  <c r="C308" i="1"/>
  <c r="I308" i="1"/>
  <c r="P308" i="1"/>
  <c r="G309" i="1"/>
  <c r="N309" i="1"/>
  <c r="C310" i="1"/>
  <c r="K310" i="1"/>
  <c r="A311" i="1"/>
  <c r="H311" i="1"/>
  <c r="P311" i="1"/>
  <c r="E312" i="1"/>
  <c r="L312" i="1"/>
  <c r="C313" i="1"/>
  <c r="J313" i="1"/>
  <c r="P313" i="1"/>
  <c r="G314" i="1"/>
  <c r="N314" i="1"/>
  <c r="D315" i="1"/>
  <c r="L315" i="1"/>
  <c r="A316" i="1"/>
  <c r="H316" i="1"/>
  <c r="P316" i="1"/>
  <c r="N351" i="1"/>
  <c r="I351" i="1"/>
  <c r="C351" i="1"/>
  <c r="O350" i="1"/>
  <c r="J350" i="1"/>
  <c r="D350" i="1"/>
  <c r="P349" i="1"/>
  <c r="K349" i="1"/>
  <c r="E349" i="1"/>
  <c r="Q348" i="1"/>
  <c r="L348" i="1"/>
  <c r="F348" i="1"/>
  <c r="A348" i="1"/>
  <c r="M347" i="1"/>
  <c r="G347" i="1"/>
  <c r="B347" i="1"/>
  <c r="N346" i="1"/>
  <c r="H346" i="1"/>
  <c r="C346" i="1"/>
  <c r="O345" i="1"/>
  <c r="I345" i="1"/>
  <c r="D345" i="1"/>
  <c r="P344" i="1"/>
  <c r="J344" i="1"/>
  <c r="E344" i="1"/>
  <c r="Q343" i="1"/>
  <c r="K343" i="1"/>
  <c r="F343" i="1"/>
  <c r="A343" i="1"/>
  <c r="L342" i="1"/>
  <c r="G342" i="1"/>
  <c r="B342" i="1"/>
  <c r="M341" i="1"/>
  <c r="H341" i="1"/>
  <c r="C341" i="1"/>
  <c r="N340" i="1"/>
  <c r="I340" i="1"/>
  <c r="D340" i="1"/>
  <c r="O339" i="1"/>
  <c r="J339" i="1"/>
  <c r="E339" i="1"/>
  <c r="P338" i="1"/>
  <c r="K338" i="1"/>
  <c r="F338" i="1"/>
  <c r="Q337" i="1"/>
  <c r="L337" i="1"/>
  <c r="G337" i="1"/>
  <c r="A337" i="1"/>
  <c r="M336" i="1"/>
  <c r="H336" i="1"/>
  <c r="B336" i="1"/>
  <c r="N335" i="1"/>
  <c r="H335" i="1"/>
  <c r="Q334" i="1"/>
  <c r="J334" i="1"/>
  <c r="C334" i="1"/>
  <c r="L333" i="1"/>
  <c r="F333" i="1"/>
  <c r="P332" i="1"/>
  <c r="H332" i="1"/>
  <c r="A332" i="1"/>
  <c r="L331" i="1"/>
  <c r="D331" i="1"/>
  <c r="N330" i="1"/>
  <c r="G330" i="1"/>
  <c r="P329" i="1"/>
  <c r="J329" i="1"/>
  <c r="C329" i="1"/>
  <c r="L328" i="1"/>
  <c r="E328" i="1"/>
  <c r="P327" i="1"/>
  <c r="H327" i="1"/>
  <c r="A327" i="1"/>
  <c r="K326" i="1"/>
  <c r="C326" i="1"/>
  <c r="N325" i="1"/>
  <c r="G325" i="1"/>
  <c r="P324" i="1"/>
  <c r="I324" i="1"/>
  <c r="C324" i="1"/>
  <c r="L323" i="1"/>
  <c r="E323" i="1"/>
  <c r="O322" i="1"/>
  <c r="G322" i="1"/>
  <c r="A322" i="1"/>
  <c r="K321" i="1"/>
  <c r="C321" i="1"/>
  <c r="M320" i="1"/>
  <c r="G320" i="1"/>
  <c r="P319" i="1"/>
  <c r="I319" i="1"/>
  <c r="B319" i="1"/>
  <c r="K318" i="1"/>
  <c r="E318" i="1"/>
  <c r="O317" i="1"/>
  <c r="G317" i="1"/>
  <c r="Q316" i="1"/>
  <c r="G316" i="1"/>
  <c r="N315" i="1"/>
  <c r="F315" i="1"/>
  <c r="M314" i="1"/>
  <c r="C314" i="1"/>
  <c r="K313" i="1"/>
  <c r="Q312" i="1"/>
  <c r="I312" i="1"/>
  <c r="Q311" i="1"/>
  <c r="F311" i="1"/>
  <c r="N310" i="1"/>
  <c r="F310" i="1"/>
  <c r="L309" i="1"/>
  <c r="C309" i="1"/>
  <c r="K308" i="1"/>
  <c r="Q307" i="1"/>
  <c r="I307" i="1"/>
  <c r="Q306" i="1"/>
  <c r="F306" i="1"/>
  <c r="N305" i="1"/>
  <c r="F305" i="1"/>
  <c r="L304" i="1"/>
  <c r="C304" i="1"/>
  <c r="J303" i="1"/>
  <c r="Q302" i="1"/>
  <c r="I302" i="1"/>
  <c r="P301" i="1"/>
  <c r="F301" i="1"/>
  <c r="M300" i="1"/>
  <c r="E300" i="1"/>
  <c r="L299" i="1"/>
  <c r="B299" i="1"/>
  <c r="J298" i="1"/>
  <c r="P297" i="1"/>
  <c r="H297" i="1"/>
  <c r="P296" i="1"/>
  <c r="E296" i="1"/>
  <c r="M295" i="1"/>
  <c r="E295" i="1"/>
  <c r="K294" i="1"/>
  <c r="B294" i="1"/>
  <c r="J293" i="1"/>
  <c r="P292" i="1"/>
  <c r="H292" i="1"/>
  <c r="P291" i="1"/>
  <c r="E291" i="1"/>
  <c r="M290" i="1"/>
  <c r="E290" i="1"/>
  <c r="K289" i="1"/>
  <c r="B289" i="1"/>
  <c r="I288" i="1"/>
  <c r="P287" i="1"/>
  <c r="H287" i="1"/>
  <c r="O286" i="1"/>
  <c r="E286" i="1"/>
  <c r="L285" i="1"/>
  <c r="B285" i="1"/>
  <c r="C284" i="1"/>
  <c r="B283" i="1"/>
  <c r="C282" i="1"/>
  <c r="Q280" i="1"/>
  <c r="C280" i="1"/>
  <c r="I278" i="1"/>
  <c r="L325" i="1"/>
  <c r="D325" i="1"/>
  <c r="O324" i="1"/>
  <c r="H324" i="1"/>
  <c r="Q323" i="1"/>
  <c r="J323" i="1"/>
  <c r="D323" i="1"/>
  <c r="M322" i="1"/>
  <c r="F322" i="1"/>
  <c r="P321" i="1"/>
  <c r="H321" i="1"/>
  <c r="B321" i="1"/>
  <c r="L320" i="1"/>
  <c r="D320" i="1"/>
  <c r="N319" i="1"/>
  <c r="H319" i="1"/>
  <c r="Q318" i="1"/>
  <c r="J318" i="1"/>
  <c r="C318" i="1"/>
  <c r="L317" i="1"/>
  <c r="F317" i="1"/>
  <c r="M316" i="1"/>
  <c r="E316" i="1"/>
  <c r="M315" i="1"/>
  <c r="B315" i="1"/>
  <c r="J314" i="1"/>
  <c r="B314" i="1"/>
  <c r="H313" i="1"/>
  <c r="P312" i="1"/>
  <c r="G312" i="1"/>
  <c r="M311" i="1"/>
  <c r="E311" i="1"/>
  <c r="M310" i="1"/>
  <c r="B310" i="1"/>
  <c r="J309" i="1"/>
  <c r="B309" i="1"/>
  <c r="H308" i="1"/>
  <c r="P307" i="1"/>
  <c r="F307" i="1"/>
  <c r="M306" i="1"/>
  <c r="E306" i="1"/>
  <c r="L305" i="1"/>
  <c r="B305" i="1"/>
  <c r="I304" i="1"/>
  <c r="A304" i="1"/>
  <c r="H303" i="1"/>
  <c r="O302" i="1"/>
  <c r="F302" i="1"/>
  <c r="L301" i="1"/>
  <c r="D301" i="1"/>
  <c r="L300" i="1"/>
  <c r="A300" i="1"/>
  <c r="I299" i="1"/>
  <c r="A299" i="1"/>
  <c r="G298" i="1"/>
  <c r="O297" i="1"/>
  <c r="F297" i="1"/>
  <c r="L296" i="1"/>
  <c r="D296" i="1"/>
  <c r="L295" i="1"/>
  <c r="A295" i="1"/>
  <c r="I294" i="1"/>
  <c r="A294" i="1"/>
  <c r="G293" i="1"/>
  <c r="O292" i="1"/>
  <c r="E292" i="1"/>
  <c r="L291" i="1"/>
  <c r="D291" i="1"/>
  <c r="K290" i="1"/>
  <c r="A290" i="1"/>
  <c r="H289" i="1"/>
  <c r="Q288" i="1"/>
  <c r="G288" i="1"/>
  <c r="N287" i="1"/>
  <c r="E287" i="1"/>
  <c r="K286" i="1"/>
  <c r="C286" i="1"/>
  <c r="K285" i="1"/>
  <c r="M284" i="1"/>
  <c r="N283" i="1"/>
  <c r="Q282" i="1"/>
  <c r="O281" i="1"/>
  <c r="P280" i="1"/>
  <c r="Q279" i="1"/>
  <c r="H277" i="1"/>
  <c r="J325" i="1"/>
  <c r="C325" i="1"/>
  <c r="M324" i="1"/>
  <c r="E324" i="1"/>
  <c r="P323" i="1"/>
  <c r="I323" i="1"/>
  <c r="A323" i="1"/>
  <c r="K322" i="1"/>
  <c r="E322" i="1"/>
  <c r="N321" i="1"/>
  <c r="G321" i="1"/>
  <c r="Q320" i="1"/>
  <c r="I320" i="1"/>
  <c r="C320" i="1"/>
  <c r="M319" i="1"/>
  <c r="E319" i="1"/>
  <c r="O318" i="1"/>
  <c r="I318" i="1"/>
  <c r="A318" i="1"/>
  <c r="K317" i="1"/>
  <c r="D317" i="1"/>
  <c r="L316" i="1"/>
  <c r="C316" i="1"/>
  <c r="I315" i="1"/>
  <c r="A315" i="1"/>
  <c r="I314" i="1"/>
  <c r="O313" i="1"/>
  <c r="F313" i="1"/>
  <c r="O312" i="1"/>
  <c r="D312" i="1"/>
  <c r="L311" i="1"/>
  <c r="B311" i="1"/>
  <c r="I310" i="1"/>
  <c r="A310" i="1"/>
  <c r="H309" i="1"/>
  <c r="O308" i="1"/>
  <c r="E308" i="1"/>
  <c r="N307" i="1"/>
  <c r="D307" i="1"/>
  <c r="K306" i="1"/>
  <c r="B306" i="1"/>
  <c r="H305" i="1"/>
  <c r="Q304" i="1"/>
  <c r="H304" i="1"/>
  <c r="N303" i="1"/>
  <c r="E303" i="1"/>
  <c r="N302" i="1"/>
  <c r="C302" i="1"/>
  <c r="K301" i="1"/>
  <c r="B301" i="1"/>
  <c r="H300" i="1"/>
  <c r="Q299" i="1"/>
  <c r="H299" i="1"/>
  <c r="N298" i="1"/>
  <c r="E298" i="1"/>
  <c r="N297" i="1"/>
  <c r="C297" i="1"/>
  <c r="K296" i="1"/>
  <c r="A296" i="1"/>
  <c r="H295" i="1"/>
  <c r="Q294" i="1"/>
  <c r="G294" i="1"/>
  <c r="N293" i="1"/>
  <c r="D293" i="1"/>
  <c r="M292" i="1"/>
  <c r="C292" i="1"/>
  <c r="J291" i="1"/>
  <c r="A291" i="1"/>
  <c r="G290" i="1"/>
  <c r="P289" i="1"/>
  <c r="G289" i="1"/>
  <c r="M288" i="1"/>
  <c r="D288" i="1"/>
  <c r="M287" i="1"/>
  <c r="B287" i="1"/>
  <c r="J286" i="1"/>
  <c r="A286" i="1"/>
  <c r="F285" i="1"/>
  <c r="L284" i="1"/>
  <c r="M283" i="1"/>
  <c r="J282" i="1"/>
  <c r="K281" i="1"/>
  <c r="M280" i="1"/>
  <c r="L279" i="1"/>
  <c r="O276" i="1"/>
  <c r="B322" i="1"/>
  <c r="L321" i="1"/>
  <c r="F321" i="1"/>
  <c r="O320" i="1"/>
  <c r="H320" i="1"/>
  <c r="A320" i="1"/>
  <c r="J319" i="1"/>
  <c r="D319" i="1"/>
  <c r="N318" i="1"/>
  <c r="F318" i="1"/>
  <c r="P317" i="1"/>
  <c r="J317" i="1"/>
  <c r="B317" i="1"/>
  <c r="K316" i="1"/>
  <c r="Q315" i="1"/>
  <c r="H315" i="1"/>
  <c r="O314" i="1"/>
  <c r="E314" i="1"/>
  <c r="N313" i="1"/>
  <c r="D313" i="1"/>
  <c r="K312" i="1"/>
  <c r="A312" i="1"/>
  <c r="J311" i="1"/>
  <c r="Q310" i="1"/>
  <c r="G310" i="1"/>
  <c r="O309" i="1"/>
  <c r="D309" i="1"/>
  <c r="M308" i="1"/>
  <c r="D308" i="1"/>
  <c r="J307" i="1"/>
  <c r="A307" i="1"/>
  <c r="J306" i="1"/>
  <c r="P305" i="1"/>
  <c r="G305" i="1"/>
  <c r="O304" i="1"/>
  <c r="D304" i="1"/>
  <c r="M303" i="1"/>
  <c r="D303" i="1"/>
  <c r="J302" i="1"/>
  <c r="A302" i="1"/>
  <c r="J301" i="1"/>
  <c r="P300" i="1"/>
  <c r="G300" i="1"/>
  <c r="N299" i="1"/>
  <c r="D299" i="1"/>
  <c r="M298" i="1"/>
  <c r="C298" i="1"/>
  <c r="J297" i="1"/>
  <c r="Q296" i="1"/>
  <c r="I296" i="1"/>
  <c r="P295" i="1"/>
  <c r="F295" i="1"/>
  <c r="N294" i="1"/>
  <c r="C294" i="1"/>
  <c r="L293" i="1"/>
  <c r="C293" i="1"/>
  <c r="I292" i="1"/>
  <c r="Q291" i="1"/>
  <c r="I291" i="1"/>
  <c r="O290" i="1"/>
  <c r="F290" i="1"/>
  <c r="N289" i="1"/>
  <c r="C289" i="1"/>
  <c r="L288" i="1"/>
  <c r="C288" i="1"/>
  <c r="I287" i="1"/>
  <c r="Q286" i="1"/>
  <c r="I286" i="1"/>
  <c r="O285" i="1"/>
  <c r="E285" i="1"/>
  <c r="G284" i="1"/>
  <c r="E283" i="1"/>
  <c r="I282" i="1"/>
  <c r="G281" i="1"/>
  <c r="G280" i="1"/>
  <c r="B279" i="1"/>
  <c r="J38" i="1"/>
  <c r="O139" i="1"/>
  <c r="L158" i="1"/>
  <c r="K170" i="1"/>
  <c r="I177" i="1"/>
  <c r="L182" i="1"/>
  <c r="B188" i="1"/>
  <c r="A193" i="1"/>
  <c r="O196" i="1"/>
  <c r="J199" i="1"/>
  <c r="N201" i="1"/>
  <c r="Q203" i="1"/>
  <c r="E206" i="1"/>
  <c r="H208" i="1"/>
  <c r="K210" i="1"/>
  <c r="P212" i="1"/>
  <c r="B215" i="1"/>
  <c r="F217" i="1"/>
  <c r="L219" i="1"/>
  <c r="O221" i="1"/>
  <c r="A224" i="1"/>
  <c r="F226" i="1"/>
  <c r="L227" i="1"/>
  <c r="D228" i="1"/>
  <c r="O228" i="1"/>
  <c r="G229" i="1"/>
  <c r="O229" i="1"/>
  <c r="I230" i="1"/>
  <c r="A231" i="1"/>
  <c r="J231" i="1"/>
  <c r="A232" i="1"/>
  <c r="H232" i="1"/>
  <c r="O232" i="1"/>
  <c r="F233" i="1"/>
  <c r="L233" i="1"/>
  <c r="B234" i="1"/>
  <c r="J234" i="1"/>
  <c r="Q234" i="1"/>
  <c r="F235" i="1"/>
  <c r="N235" i="1"/>
  <c r="D236" i="1"/>
  <c r="K236" i="1"/>
  <c r="B237" i="1"/>
  <c r="H237" i="1"/>
  <c r="O237" i="1"/>
  <c r="F238" i="1"/>
  <c r="M238" i="1"/>
  <c r="B239" i="1"/>
  <c r="J239" i="1"/>
  <c r="Q239" i="1"/>
  <c r="G240" i="1"/>
  <c r="O240" i="1"/>
  <c r="D241" i="1"/>
  <c r="K241" i="1"/>
  <c r="B242" i="1"/>
  <c r="I242" i="1"/>
  <c r="O242" i="1"/>
  <c r="F243" i="1"/>
  <c r="M243" i="1"/>
  <c r="A244" i="1"/>
  <c r="G244" i="1"/>
  <c r="L244" i="1"/>
  <c r="Q244" i="1"/>
  <c r="F245" i="1"/>
  <c r="K245" i="1"/>
  <c r="P245" i="1"/>
  <c r="E246" i="1"/>
  <c r="J246" i="1"/>
  <c r="O246" i="1"/>
  <c r="D247" i="1"/>
  <c r="I247" i="1"/>
  <c r="N247" i="1"/>
  <c r="C248" i="1"/>
  <c r="H248" i="1"/>
  <c r="M248" i="1"/>
  <c r="B249" i="1"/>
  <c r="G249" i="1"/>
  <c r="L249" i="1"/>
  <c r="A250" i="1"/>
  <c r="F250" i="1"/>
  <c r="K250" i="1"/>
  <c r="Q250" i="1"/>
  <c r="E251" i="1"/>
  <c r="J251" i="1"/>
  <c r="P251" i="1"/>
  <c r="D252" i="1"/>
  <c r="C146" i="1"/>
  <c r="Q164" i="1"/>
  <c r="B176" i="1"/>
  <c r="E184" i="1"/>
  <c r="K190" i="1"/>
  <c r="B196" i="1"/>
  <c r="A200" i="1"/>
  <c r="O202" i="1"/>
  <c r="K205" i="1"/>
  <c r="Q208" i="1"/>
  <c r="N211" i="1"/>
  <c r="K214" i="1"/>
  <c r="P217" i="1"/>
  <c r="L220" i="1"/>
  <c r="I223" i="1"/>
  <c r="O226" i="1"/>
  <c r="Q227" i="1"/>
  <c r="K228" i="1"/>
  <c r="H229" i="1"/>
  <c r="C230" i="1"/>
  <c r="Q230" i="1"/>
  <c r="M231" i="1"/>
  <c r="D232" i="1"/>
  <c r="M232" i="1"/>
  <c r="G233" i="1"/>
  <c r="P233" i="1"/>
  <c r="G234" i="1"/>
  <c r="A235" i="1"/>
  <c r="J235" i="1"/>
  <c r="C236" i="1"/>
  <c r="M236" i="1"/>
  <c r="D237" i="1"/>
  <c r="N237" i="1"/>
  <c r="G238" i="1"/>
  <c r="Q238" i="1"/>
  <c r="H239" i="1"/>
  <c r="A240" i="1"/>
  <c r="K240" i="1"/>
  <c r="C241" i="1"/>
  <c r="N241" i="1"/>
  <c r="E242" i="1"/>
  <c r="N242" i="1"/>
  <c r="H243" i="1"/>
  <c r="P243" i="1"/>
  <c r="E244" i="1"/>
  <c r="M244" i="1"/>
  <c r="C245" i="1"/>
  <c r="J245" i="1"/>
  <c r="A246" i="1"/>
  <c r="G246" i="1"/>
  <c r="N246" i="1"/>
  <c r="E247" i="1"/>
  <c r="L247" i="1"/>
  <c r="A248" i="1"/>
  <c r="I248" i="1"/>
  <c r="P248" i="1"/>
  <c r="F249" i="1"/>
  <c r="N249" i="1"/>
  <c r="C250" i="1"/>
  <c r="J250" i="1"/>
  <c r="A251" i="1"/>
  <c r="H251" i="1"/>
  <c r="N251" i="1"/>
  <c r="E252" i="1"/>
  <c r="K252" i="1"/>
  <c r="P252" i="1"/>
  <c r="D253" i="1"/>
  <c r="J253" i="1"/>
  <c r="O253" i="1"/>
  <c r="C254" i="1"/>
  <c r="I254" i="1"/>
  <c r="N254" i="1"/>
  <c r="B255" i="1"/>
  <c r="H255" i="1"/>
  <c r="M255" i="1"/>
  <c r="A256" i="1"/>
  <c r="G256" i="1"/>
  <c r="L256" i="1"/>
  <c r="Q256" i="1"/>
  <c r="F257" i="1"/>
  <c r="K257" i="1"/>
  <c r="P257" i="1"/>
  <c r="E258" i="1"/>
  <c r="J258" i="1"/>
  <c r="O258" i="1"/>
  <c r="D259" i="1"/>
  <c r="I259" i="1"/>
  <c r="N259" i="1"/>
  <c r="C260" i="1"/>
  <c r="H260" i="1"/>
  <c r="M260" i="1"/>
  <c r="B261" i="1"/>
  <c r="G261" i="1"/>
  <c r="L261" i="1"/>
  <c r="A262" i="1"/>
  <c r="F262" i="1"/>
  <c r="K262" i="1"/>
  <c r="Q262" i="1"/>
  <c r="E263" i="1"/>
  <c r="J263" i="1"/>
  <c r="P263" i="1"/>
  <c r="D264" i="1"/>
  <c r="I264" i="1"/>
  <c r="O264" i="1"/>
  <c r="C265" i="1"/>
  <c r="H265" i="1"/>
  <c r="N265" i="1"/>
  <c r="B266" i="1"/>
  <c r="G266" i="1"/>
  <c r="M266" i="1"/>
  <c r="A267" i="1"/>
  <c r="F267" i="1"/>
  <c r="L267" i="1"/>
  <c r="Q267" i="1"/>
  <c r="E268" i="1"/>
  <c r="K268" i="1"/>
  <c r="P268" i="1"/>
  <c r="D269" i="1"/>
  <c r="J269" i="1"/>
  <c r="O269" i="1"/>
  <c r="C270" i="1"/>
  <c r="I270" i="1"/>
  <c r="N270" i="1"/>
  <c r="B271" i="1"/>
  <c r="H271" i="1"/>
  <c r="M271" i="1"/>
  <c r="A272" i="1"/>
  <c r="G272" i="1"/>
  <c r="L272" i="1"/>
  <c r="Q272" i="1"/>
  <c r="F273" i="1"/>
  <c r="K273" i="1"/>
  <c r="P273" i="1"/>
  <c r="E274" i="1"/>
  <c r="J274" i="1"/>
  <c r="O274" i="1"/>
  <c r="D275" i="1"/>
  <c r="I275" i="1"/>
  <c r="N275" i="1"/>
  <c r="C276" i="1"/>
  <c r="H276" i="1"/>
  <c r="M276" i="1"/>
  <c r="B277" i="1"/>
  <c r="G277" i="1"/>
  <c r="L277" i="1"/>
  <c r="A278" i="1"/>
  <c r="F278" i="1"/>
  <c r="K278" i="1"/>
  <c r="Q278" i="1"/>
  <c r="E279" i="1"/>
  <c r="J279" i="1"/>
  <c r="P279" i="1"/>
  <c r="D280" i="1"/>
  <c r="I280" i="1"/>
  <c r="O280" i="1"/>
  <c r="C281" i="1"/>
  <c r="H281" i="1"/>
  <c r="N281" i="1"/>
  <c r="B282" i="1"/>
  <c r="G282" i="1"/>
  <c r="M282" i="1"/>
  <c r="A283" i="1"/>
  <c r="F283" i="1"/>
  <c r="L283" i="1"/>
  <c r="Q283" i="1"/>
  <c r="E284" i="1"/>
  <c r="K284" i="1"/>
  <c r="P284" i="1"/>
  <c r="C285" i="1"/>
  <c r="G285" i="1"/>
  <c r="N151" i="1"/>
  <c r="B173" i="1"/>
  <c r="H181" i="1"/>
  <c r="C192" i="1"/>
  <c r="G198" i="1"/>
  <c r="E202" i="1"/>
  <c r="N206" i="1"/>
  <c r="B210" i="1"/>
  <c r="A214" i="1"/>
  <c r="I218" i="1"/>
  <c r="F222" i="1"/>
  <c r="L225" i="1"/>
  <c r="C228" i="1"/>
  <c r="B229" i="1"/>
  <c r="B230" i="1"/>
  <c r="B231" i="1"/>
  <c r="P231" i="1"/>
  <c r="L232" i="1"/>
  <c r="H233" i="1"/>
  <c r="E234" i="1"/>
  <c r="O234" i="1"/>
  <c r="L235" i="1"/>
  <c r="H236" i="1"/>
  <c r="C237" i="1"/>
  <c r="A238" i="1"/>
  <c r="K238" i="1"/>
  <c r="F239" i="1"/>
  <c r="D240" i="1"/>
  <c r="P240" i="1"/>
  <c r="J241" i="1"/>
  <c r="G242" i="1"/>
  <c r="B243" i="1"/>
  <c r="N243" i="1"/>
  <c r="H244" i="1"/>
  <c r="P244" i="1"/>
  <c r="H245" i="1"/>
  <c r="B246" i="1"/>
  <c r="K246" i="1"/>
  <c r="B247" i="1"/>
  <c r="M247" i="1"/>
  <c r="E248" i="1"/>
  <c r="O248" i="1"/>
  <c r="H249" i="1"/>
  <c r="P249" i="1"/>
  <c r="I250" i="1"/>
  <c r="B251" i="1"/>
  <c r="L251" i="1"/>
  <c r="C252" i="1"/>
  <c r="L252" i="1"/>
  <c r="B253" i="1"/>
  <c r="H253" i="1"/>
  <c r="P253" i="1"/>
  <c r="F254" i="1"/>
  <c r="M254" i="1"/>
  <c r="D255" i="1"/>
  <c r="J255" i="1"/>
  <c r="Q255" i="1"/>
  <c r="H256" i="1"/>
  <c r="O256" i="1"/>
  <c r="D257" i="1"/>
  <c r="L257" i="1"/>
  <c r="B258" i="1"/>
  <c r="I258" i="1"/>
  <c r="Q258" i="1"/>
  <c r="F259" i="1"/>
  <c r="M259" i="1"/>
  <c r="D260" i="1"/>
  <c r="K260" i="1"/>
  <c r="Q260" i="1"/>
  <c r="H261" i="1"/>
  <c r="O261" i="1"/>
  <c r="E262" i="1"/>
  <c r="M262" i="1"/>
  <c r="B263" i="1"/>
  <c r="I263" i="1"/>
  <c r="Q263" i="1"/>
  <c r="G264" i="1"/>
  <c r="M264" i="1"/>
  <c r="D265" i="1"/>
  <c r="K265" i="1"/>
  <c r="A266" i="1"/>
  <c r="I266" i="1"/>
  <c r="O266" i="1"/>
  <c r="E267" i="1"/>
  <c r="M267" i="1"/>
  <c r="C268" i="1"/>
  <c r="I268" i="1"/>
  <c r="Q268" i="1"/>
  <c r="G269" i="1"/>
  <c r="N269" i="1"/>
  <c r="E270" i="1"/>
  <c r="K270" i="1"/>
  <c r="A271" i="1"/>
  <c r="I271" i="1"/>
  <c r="P271" i="1"/>
  <c r="E272" i="1"/>
  <c r="M272" i="1"/>
  <c r="C273" i="1"/>
  <c r="J273" i="1"/>
  <c r="A274" i="1"/>
  <c r="G274" i="1"/>
  <c r="N274" i="1"/>
  <c r="E275" i="1"/>
  <c r="L275" i="1"/>
  <c r="A276" i="1"/>
  <c r="I276" i="1"/>
  <c r="P276" i="1"/>
  <c r="F277" i="1"/>
  <c r="N277" i="1"/>
  <c r="C278" i="1"/>
  <c r="J278" i="1"/>
  <c r="A279" i="1"/>
  <c r="H279" i="1"/>
  <c r="N279" i="1"/>
  <c r="E280" i="1"/>
  <c r="L280" i="1"/>
  <c r="B281" i="1"/>
  <c r="J281" i="1"/>
  <c r="P281" i="1"/>
  <c r="F282" i="1"/>
  <c r="N282" i="1"/>
  <c r="D283" i="1"/>
  <c r="J283" i="1"/>
  <c r="A284" i="1"/>
  <c r="H284" i="1"/>
  <c r="O284" i="1"/>
  <c r="D285" i="1"/>
  <c r="I285" i="1"/>
  <c r="M285" i="1"/>
  <c r="Q285" i="1"/>
  <c r="D286" i="1"/>
  <c r="H286" i="1"/>
  <c r="L286" i="1"/>
  <c r="P286" i="1"/>
  <c r="C287" i="1"/>
  <c r="G287" i="1"/>
  <c r="K287" i="1"/>
  <c r="O287" i="1"/>
  <c r="B288" i="1"/>
  <c r="F288" i="1"/>
  <c r="J288" i="1"/>
  <c r="N288" i="1"/>
  <c r="A289" i="1"/>
  <c r="E289" i="1"/>
  <c r="I289" i="1"/>
  <c r="M289" i="1"/>
  <c r="Q289" i="1"/>
  <c r="D290" i="1"/>
  <c r="H290" i="1"/>
  <c r="L290" i="1"/>
  <c r="P290" i="1"/>
  <c r="C291" i="1"/>
  <c r="G291" i="1"/>
  <c r="K291" i="1"/>
  <c r="O291" i="1"/>
  <c r="B292" i="1"/>
  <c r="F292" i="1"/>
  <c r="J292" i="1"/>
  <c r="N292" i="1"/>
  <c r="A293" i="1"/>
  <c r="E293" i="1"/>
  <c r="I293" i="1"/>
  <c r="M293" i="1"/>
  <c r="Q293" i="1"/>
  <c r="D294" i="1"/>
  <c r="H294" i="1"/>
  <c r="L294" i="1"/>
  <c r="P294" i="1"/>
  <c r="C295" i="1"/>
  <c r="G295" i="1"/>
  <c r="K295" i="1"/>
  <c r="O295" i="1"/>
  <c r="B296" i="1"/>
  <c r="F296" i="1"/>
  <c r="J296" i="1"/>
  <c r="N296" i="1"/>
  <c r="A297" i="1"/>
  <c r="E297" i="1"/>
  <c r="I297" i="1"/>
  <c r="M297" i="1"/>
  <c r="Q297" i="1"/>
  <c r="D298" i="1"/>
  <c r="H298" i="1"/>
  <c r="L298" i="1"/>
  <c r="P298" i="1"/>
  <c r="C299" i="1"/>
  <c r="G299" i="1"/>
  <c r="K299" i="1"/>
  <c r="O299" i="1"/>
  <c r="B300" i="1"/>
  <c r="F300" i="1"/>
  <c r="J300" i="1"/>
  <c r="N300" i="1"/>
  <c r="A301" i="1"/>
  <c r="E301" i="1"/>
  <c r="I301" i="1"/>
  <c r="M301" i="1"/>
  <c r="Q301" i="1"/>
  <c r="D302" i="1"/>
  <c r="H302" i="1"/>
  <c r="L302" i="1"/>
  <c r="P302" i="1"/>
  <c r="C303" i="1"/>
  <c r="G303" i="1"/>
  <c r="K303" i="1"/>
  <c r="O303" i="1"/>
  <c r="B304" i="1"/>
  <c r="F304" i="1"/>
  <c r="J304" i="1"/>
  <c r="N304" i="1"/>
  <c r="A305" i="1"/>
  <c r="E305" i="1"/>
  <c r="I305" i="1"/>
  <c r="M305" i="1"/>
  <c r="Q305" i="1"/>
  <c r="D306" i="1"/>
  <c r="H306" i="1"/>
  <c r="L306" i="1"/>
  <c r="P306" i="1"/>
  <c r="C307" i="1"/>
  <c r="G307" i="1"/>
  <c r="K307" i="1"/>
  <c r="O307" i="1"/>
  <c r="B308" i="1"/>
  <c r="F308" i="1"/>
  <c r="J308" i="1"/>
  <c r="N308" i="1"/>
  <c r="A309" i="1"/>
  <c r="E309" i="1"/>
  <c r="I309" i="1"/>
  <c r="M309" i="1"/>
  <c r="Q309" i="1"/>
  <c r="D310" i="1"/>
  <c r="H310" i="1"/>
  <c r="L310" i="1"/>
  <c r="P310" i="1"/>
  <c r="C311" i="1"/>
  <c r="G311" i="1"/>
  <c r="K311" i="1"/>
  <c r="O311" i="1"/>
  <c r="B312" i="1"/>
  <c r="F312" i="1"/>
  <c r="J312" i="1"/>
  <c r="N312" i="1"/>
  <c r="A313" i="1"/>
  <c r="E313" i="1"/>
  <c r="I313" i="1"/>
  <c r="M313" i="1"/>
  <c r="Q313" i="1"/>
  <c r="D314" i="1"/>
  <c r="H314" i="1"/>
  <c r="L314" i="1"/>
  <c r="P314" i="1"/>
  <c r="C315" i="1"/>
  <c r="G315" i="1"/>
  <c r="K315" i="1"/>
  <c r="O315" i="1"/>
  <c r="B316" i="1"/>
  <c r="F316" i="1"/>
  <c r="J316" i="1"/>
  <c r="N316" i="1"/>
  <c r="A317" i="1"/>
  <c r="E317" i="1"/>
  <c r="I317" i="1"/>
  <c r="M317" i="1"/>
  <c r="Q317" i="1"/>
  <c r="D318" i="1"/>
  <c r="H318" i="1"/>
  <c r="L318" i="1"/>
  <c r="P318" i="1"/>
  <c r="C319" i="1"/>
  <c r="G319" i="1"/>
  <c r="K319" i="1"/>
  <c r="O319" i="1"/>
  <c r="B320" i="1"/>
  <c r="F320" i="1"/>
  <c r="J320" i="1"/>
  <c r="N320" i="1"/>
  <c r="A321" i="1"/>
  <c r="E321" i="1"/>
  <c r="I321" i="1"/>
  <c r="M321" i="1"/>
  <c r="Q321" i="1"/>
  <c r="D322" i="1"/>
  <c r="H322" i="1"/>
  <c r="L322" i="1"/>
  <c r="P322" i="1"/>
  <c r="C323" i="1"/>
  <c r="G323" i="1"/>
  <c r="K323" i="1"/>
  <c r="O323" i="1"/>
  <c r="B324" i="1"/>
  <c r="F324" i="1"/>
  <c r="J324" i="1"/>
  <c r="N324" i="1"/>
  <c r="A325" i="1"/>
  <c r="E325" i="1"/>
  <c r="I325" i="1"/>
  <c r="M325" i="1"/>
  <c r="Q325" i="1"/>
  <c r="D326" i="1"/>
  <c r="H326" i="1"/>
  <c r="L326" i="1"/>
  <c r="P326" i="1"/>
  <c r="C327" i="1"/>
  <c r="G327" i="1"/>
  <c r="K327" i="1"/>
  <c r="O327" i="1"/>
  <c r="B328" i="1"/>
  <c r="F328" i="1"/>
  <c r="J328" i="1"/>
  <c r="N328" i="1"/>
  <c r="A329" i="1"/>
  <c r="E329" i="1"/>
  <c r="I329" i="1"/>
  <c r="M329" i="1"/>
  <c r="Q329" i="1"/>
  <c r="D330" i="1"/>
  <c r="H330" i="1"/>
  <c r="L330" i="1"/>
  <c r="P330" i="1"/>
  <c r="C331" i="1"/>
  <c r="G331" i="1"/>
  <c r="K331" i="1"/>
  <c r="O331" i="1"/>
  <c r="B332" i="1"/>
  <c r="F332" i="1"/>
  <c r="J332" i="1"/>
  <c r="N332" i="1"/>
  <c r="A333" i="1"/>
  <c r="E333" i="1"/>
  <c r="I333" i="1"/>
  <c r="M333" i="1"/>
  <c r="Q333" i="1"/>
  <c r="D334" i="1"/>
  <c r="H334" i="1"/>
  <c r="L334" i="1"/>
  <c r="P334" i="1"/>
  <c r="C335" i="1"/>
  <c r="G335" i="1"/>
  <c r="K335" i="1"/>
  <c r="P351" i="1"/>
  <c r="L351" i="1"/>
  <c r="H351" i="1"/>
  <c r="D351" i="1"/>
  <c r="Q350" i="1"/>
  <c r="M350" i="1"/>
  <c r="I350" i="1"/>
  <c r="E350" i="1"/>
  <c r="A350" i="1"/>
  <c r="N349" i="1"/>
  <c r="J349" i="1"/>
  <c r="F349" i="1"/>
  <c r="B349" i="1"/>
  <c r="O348" i="1"/>
  <c r="K348" i="1"/>
  <c r="G348" i="1"/>
  <c r="C348" i="1"/>
  <c r="P347" i="1"/>
  <c r="L347" i="1"/>
  <c r="H347" i="1"/>
  <c r="D347" i="1"/>
  <c r="Q346" i="1"/>
  <c r="M346" i="1"/>
  <c r="I346" i="1"/>
  <c r="E346" i="1"/>
  <c r="A346" i="1"/>
  <c r="N345" i="1"/>
  <c r="J345" i="1"/>
  <c r="F345" i="1"/>
  <c r="B345" i="1"/>
  <c r="O344" i="1"/>
  <c r="K344" i="1"/>
  <c r="G344" i="1"/>
  <c r="C344" i="1"/>
  <c r="P343" i="1"/>
  <c r="L343" i="1"/>
  <c r="H343" i="1"/>
  <c r="D343" i="1"/>
  <c r="Q342" i="1"/>
  <c r="M342" i="1"/>
  <c r="I342" i="1"/>
  <c r="E342" i="1"/>
  <c r="A342" i="1"/>
  <c r="N341" i="1"/>
  <c r="J341" i="1"/>
  <c r="F341" i="1"/>
  <c r="B341" i="1"/>
  <c r="O340" i="1"/>
  <c r="K340" i="1"/>
  <c r="G340" i="1"/>
  <c r="C340" i="1"/>
  <c r="P339" i="1"/>
  <c r="L339" i="1"/>
  <c r="H339" i="1"/>
  <c r="D339" i="1"/>
  <c r="Q338" i="1"/>
  <c r="M338" i="1"/>
  <c r="I338" i="1"/>
  <c r="E338" i="1"/>
  <c r="A338" i="1"/>
  <c r="N337" i="1"/>
  <c r="J337" i="1"/>
  <c r="F337" i="1"/>
  <c r="B337" i="1"/>
  <c r="O336" i="1"/>
  <c r="K336" i="1"/>
  <c r="G336" i="1"/>
  <c r="C336" i="1"/>
  <c r="P335" i="1"/>
  <c r="L335" i="1"/>
  <c r="F335" i="1"/>
  <c r="A335" i="1"/>
  <c r="M334" i="1"/>
  <c r="G334" i="1"/>
  <c r="B334" i="1"/>
  <c r="N333" i="1"/>
  <c r="H333" i="1"/>
  <c r="C333" i="1"/>
  <c r="O332" i="1"/>
  <c r="I332" i="1"/>
  <c r="D332" i="1"/>
  <c r="P331" i="1"/>
  <c r="J331" i="1"/>
  <c r="E331" i="1"/>
  <c r="Q330" i="1"/>
  <c r="K330" i="1"/>
  <c r="F330" i="1"/>
  <c r="A330" i="1"/>
  <c r="L329" i="1"/>
  <c r="G329" i="1"/>
  <c r="B329" i="1"/>
  <c r="M328" i="1"/>
  <c r="H328" i="1"/>
  <c r="C328" i="1"/>
  <c r="N327" i="1"/>
  <c r="I327" i="1"/>
  <c r="D327" i="1"/>
  <c r="O326" i="1"/>
  <c r="J326" i="1"/>
  <c r="E326" i="1"/>
  <c r="P325" i="1"/>
  <c r="K325" i="1"/>
  <c r="F325" i="1"/>
  <c r="Q324" i="1"/>
  <c r="L324" i="1"/>
  <c r="G324" i="1"/>
  <c r="A324" i="1"/>
  <c r="M323" i="1"/>
  <c r="H323" i="1"/>
  <c r="B323" i="1"/>
  <c r="N322" i="1"/>
  <c r="I322" i="1"/>
  <c r="C322" i="1"/>
  <c r="O321" i="1"/>
  <c r="J321" i="1"/>
  <c r="D321" i="1"/>
  <c r="P320" i="1"/>
  <c r="K320" i="1"/>
  <c r="E320" i="1"/>
  <c r="Q319" i="1"/>
  <c r="L319" i="1"/>
  <c r="F319" i="1"/>
  <c r="A319" i="1"/>
  <c r="M318" i="1"/>
  <c r="G318" i="1"/>
  <c r="B318" i="1"/>
  <c r="N317" i="1"/>
  <c r="H317" i="1"/>
  <c r="C317" i="1"/>
  <c r="O316" i="1"/>
  <c r="I316" i="1"/>
  <c r="D316" i="1"/>
  <c r="P315" i="1"/>
  <c r="J315" i="1"/>
  <c r="E315" i="1"/>
  <c r="Q314" i="1"/>
  <c r="K314" i="1"/>
  <c r="F314" i="1"/>
  <c r="A314" i="1"/>
  <c r="L313" i="1"/>
  <c r="G313" i="1"/>
  <c r="B313" i="1"/>
  <c r="M312" i="1"/>
  <c r="H312" i="1"/>
  <c r="C312" i="1"/>
  <c r="N311" i="1"/>
  <c r="I311" i="1"/>
  <c r="D311" i="1"/>
  <c r="O310" i="1"/>
  <c r="J310" i="1"/>
  <c r="E310" i="1"/>
  <c r="P309" i="1"/>
  <c r="K309" i="1"/>
  <c r="F309" i="1"/>
  <c r="Q308" i="1"/>
  <c r="L308" i="1"/>
  <c r="G308" i="1"/>
  <c r="A308" i="1"/>
  <c r="M307" i="1"/>
  <c r="H307" i="1"/>
  <c r="B307" i="1"/>
  <c r="N306" i="1"/>
  <c r="I306" i="1"/>
  <c r="C306" i="1"/>
  <c r="O305" i="1"/>
  <c r="J305" i="1"/>
  <c r="D305" i="1"/>
  <c r="P304" i="1"/>
  <c r="K304" i="1"/>
  <c r="E304" i="1"/>
  <c r="Q303" i="1"/>
  <c r="L303" i="1"/>
  <c r="F303" i="1"/>
  <c r="A303" i="1"/>
  <c r="M302" i="1"/>
  <c r="G302" i="1"/>
  <c r="B302" i="1"/>
  <c r="N301" i="1"/>
  <c r="H301" i="1"/>
  <c r="C301" i="1"/>
  <c r="O300" i="1"/>
  <c r="I300" i="1"/>
  <c r="D300" i="1"/>
  <c r="P299" i="1"/>
  <c r="J299" i="1"/>
  <c r="E299" i="1"/>
  <c r="Q298" i="1"/>
  <c r="K298" i="1"/>
  <c r="F298" i="1"/>
  <c r="A298" i="1"/>
  <c r="L297" i="1"/>
  <c r="G297" i="1"/>
  <c r="B297" i="1"/>
  <c r="M296" i="1"/>
  <c r="H296" i="1"/>
  <c r="C296" i="1"/>
  <c r="N295" i="1"/>
  <c r="I295" i="1"/>
  <c r="D295" i="1"/>
  <c r="O294" i="1"/>
  <c r="J294" i="1"/>
  <c r="E294" i="1"/>
  <c r="P293" i="1"/>
  <c r="K293" i="1"/>
  <c r="F293" i="1"/>
  <c r="Q292" i="1"/>
  <c r="L292" i="1"/>
  <c r="G292" i="1"/>
  <c r="A292" i="1"/>
  <c r="M291" i="1"/>
  <c r="H291" i="1"/>
  <c r="B291" i="1"/>
  <c r="N290" i="1"/>
  <c r="I290" i="1"/>
  <c r="C290" i="1"/>
  <c r="O289" i="1"/>
  <c r="J289" i="1"/>
  <c r="D289" i="1"/>
  <c r="P288" i="1"/>
  <c r="K288" i="1"/>
  <c r="E288" i="1"/>
  <c r="Q287" i="1"/>
  <c r="L287" i="1"/>
  <c r="F287" i="1"/>
  <c r="A287" i="1"/>
  <c r="M286" i="1"/>
  <c r="G286" i="1"/>
  <c r="B286" i="1"/>
  <c r="N285" i="1"/>
  <c r="H285" i="1"/>
  <c r="A285" i="1"/>
  <c r="I284" i="1"/>
  <c r="P283" i="1"/>
  <c r="H283" i="1"/>
  <c r="O282" i="1"/>
  <c r="E282" i="1"/>
  <c r="L281" i="1"/>
  <c r="D281" i="1"/>
  <c r="K280" i="1"/>
  <c r="A280" i="1"/>
  <c r="I279" i="1"/>
  <c r="O278" i="1"/>
  <c r="G278" i="1"/>
  <c r="O277" i="1"/>
  <c r="D277" i="1"/>
  <c r="L276" i="1"/>
  <c r="D276" i="1"/>
  <c r="J275" i="1"/>
  <c r="A275" i="1"/>
  <c r="I274" i="1"/>
  <c r="O273" i="1"/>
  <c r="G273" i="1"/>
  <c r="O272" i="1"/>
  <c r="D272" i="1"/>
  <c r="L271" i="1"/>
  <c r="D271" i="1"/>
  <c r="J270" i="1"/>
  <c r="A270" i="1"/>
  <c r="H269" i="1"/>
  <c r="O268" i="1"/>
  <c r="G268" i="1"/>
  <c r="N267" i="1"/>
  <c r="D267" i="1"/>
  <c r="K266" i="1"/>
  <c r="C266" i="1"/>
  <c r="J265" i="1"/>
  <c r="Q264" i="1"/>
  <c r="H264" i="1"/>
  <c r="N263" i="1"/>
  <c r="F263" i="1"/>
  <c r="N262" i="1"/>
  <c r="C262" i="1"/>
  <c r="K261" i="1"/>
  <c r="C261" i="1"/>
  <c r="I260" i="1"/>
  <c r="Q259" i="1"/>
  <c r="H259" i="1"/>
  <c r="N258" i="1"/>
  <c r="F258" i="1"/>
  <c r="N257" i="1"/>
  <c r="C257" i="1"/>
  <c r="K256" i="1"/>
  <c r="C256" i="1"/>
  <c r="I255" i="1"/>
  <c r="Q254" i="1"/>
  <c r="G254" i="1"/>
  <c r="N253" i="1"/>
  <c r="F253" i="1"/>
  <c r="M252" i="1"/>
  <c r="A252" i="1"/>
  <c r="F251" i="1"/>
  <c r="M250" i="1"/>
  <c r="O249" i="1"/>
  <c r="C249" i="1"/>
  <c r="G248" i="1"/>
  <c r="J247" i="1"/>
  <c r="Q246" i="1"/>
  <c r="C246" i="1"/>
  <c r="G245" i="1"/>
  <c r="K244" i="1"/>
  <c r="Q243" i="1"/>
  <c r="A243" i="1"/>
  <c r="P241" i="1"/>
  <c r="Q240" i="1"/>
  <c r="P239" i="1"/>
  <c r="A239" i="1"/>
  <c r="B238" i="1"/>
  <c r="P236" i="1"/>
  <c r="Q235" i="1"/>
  <c r="D235" i="1"/>
  <c r="A234" i="1"/>
  <c r="B233" i="1"/>
  <c r="C232" i="1"/>
  <c r="M230" i="1"/>
  <c r="L229" i="1"/>
  <c r="H228" i="1"/>
  <c r="C225" i="1"/>
  <c r="C220" i="1"/>
  <c r="L215" i="1"/>
  <c r="K209" i="1"/>
  <c r="K204" i="1"/>
  <c r="Q198" i="1"/>
  <c r="F189" i="1"/>
  <c r="M178" i="1"/>
  <c r="C155" i="1"/>
  <c r="F279" i="1"/>
  <c r="N278" i="1"/>
  <c r="E278" i="1"/>
  <c r="K277" i="1"/>
  <c r="C277" i="1"/>
  <c r="K276" i="1"/>
  <c r="Q275" i="1"/>
  <c r="H275" i="1"/>
  <c r="Q274" i="1"/>
  <c r="F274" i="1"/>
  <c r="N273" i="1"/>
  <c r="D273" i="1"/>
  <c r="K272" i="1"/>
  <c r="C272" i="1"/>
  <c r="J271" i="1"/>
  <c r="Q270" i="1"/>
  <c r="G270" i="1"/>
  <c r="P269" i="1"/>
  <c r="F269" i="1"/>
  <c r="M268" i="1"/>
  <c r="D268" i="1"/>
  <c r="J267" i="1"/>
  <c r="B267" i="1"/>
  <c r="J266" i="1"/>
  <c r="P265" i="1"/>
  <c r="G265" i="1"/>
  <c r="P264" i="1"/>
  <c r="E264" i="1"/>
  <c r="M263" i="1"/>
  <c r="D263" i="1"/>
  <c r="J262" i="1"/>
  <c r="B262" i="1"/>
  <c r="J261" i="1"/>
  <c r="P260" i="1"/>
  <c r="G260" i="1"/>
  <c r="P259" i="1"/>
  <c r="E259" i="1"/>
  <c r="M258" i="1"/>
  <c r="C258" i="1"/>
  <c r="J257" i="1"/>
  <c r="B257" i="1"/>
  <c r="I256" i="1"/>
  <c r="P255" i="1"/>
  <c r="F255" i="1"/>
  <c r="O254" i="1"/>
  <c r="E254" i="1"/>
  <c r="L253" i="1"/>
  <c r="C253" i="1"/>
  <c r="I252" i="1"/>
  <c r="Q251" i="1"/>
  <c r="D251" i="1"/>
  <c r="G250" i="1"/>
  <c r="K249" i="1"/>
  <c r="Q248" i="1"/>
  <c r="D248" i="1"/>
  <c r="H247" i="1"/>
  <c r="M246" i="1"/>
  <c r="O245" i="1"/>
  <c r="D245" i="1"/>
  <c r="I244" i="1"/>
  <c r="L243" i="1"/>
  <c r="M242" i="1"/>
  <c r="O241" i="1"/>
  <c r="L240" i="1"/>
  <c r="M239" i="1"/>
  <c r="N238" i="1"/>
  <c r="L237" i="1"/>
  <c r="O236" i="1"/>
  <c r="P235" i="1"/>
  <c r="M234" i="1"/>
  <c r="N233" i="1"/>
  <c r="Q232" i="1"/>
  <c r="N231" i="1"/>
  <c r="K230" i="1"/>
  <c r="D229" i="1"/>
  <c r="N227" i="1"/>
  <c r="L224" i="1"/>
  <c r="A219" i="1"/>
  <c r="H213" i="1"/>
  <c r="P207" i="1"/>
  <c r="H203" i="1"/>
  <c r="L197" i="1"/>
  <c r="I186" i="1"/>
  <c r="L174" i="1"/>
  <c r="F132" i="1"/>
  <c r="D279" i="1"/>
  <c r="M278" i="1"/>
  <c r="B278" i="1"/>
  <c r="J277" i="1"/>
  <c r="Q276" i="1"/>
  <c r="G276" i="1"/>
  <c r="P275" i="1"/>
  <c r="F275" i="1"/>
  <c r="M274" i="1"/>
  <c r="C274" i="1"/>
  <c r="L273" i="1"/>
  <c r="B273" i="1"/>
  <c r="I272" i="1"/>
  <c r="Q271" i="1"/>
  <c r="F271" i="1"/>
  <c r="O270" i="1"/>
  <c r="F270" i="1"/>
  <c r="L269" i="1"/>
  <c r="C269" i="1"/>
  <c r="L268" i="1"/>
  <c r="A268" i="1"/>
  <c r="I267" i="1"/>
  <c r="Q266" i="1"/>
  <c r="F266" i="1"/>
  <c r="O265" i="1"/>
  <c r="F265" i="1"/>
  <c r="L264" i="1"/>
  <c r="C264" i="1"/>
  <c r="L263" i="1"/>
  <c r="A263" i="1"/>
  <c r="I262" i="1"/>
  <c r="P261" i="1"/>
  <c r="F261" i="1"/>
  <c r="O260" i="1"/>
  <c r="E260" i="1"/>
  <c r="L259" i="1"/>
  <c r="B259" i="1"/>
  <c r="K258" i="1"/>
  <c r="A258" i="1"/>
  <c r="H257" i="1"/>
  <c r="P256" i="1"/>
  <c r="E256" i="1"/>
  <c r="N255" i="1"/>
  <c r="E255" i="1"/>
  <c r="K254" i="1"/>
  <c r="B254" i="1"/>
  <c r="K253" i="1"/>
  <c r="Q252" i="1"/>
  <c r="H252" i="1"/>
  <c r="M251" i="1"/>
  <c r="O250" i="1"/>
  <c r="E250" i="1"/>
  <c r="J249" i="1"/>
  <c r="L248" i="1"/>
  <c r="Q247" i="1"/>
  <c r="F247" i="1"/>
  <c r="I246" i="1"/>
  <c r="N245" i="1"/>
  <c r="B245" i="1"/>
  <c r="D244" i="1"/>
  <c r="I243" i="1"/>
  <c r="J242" i="1"/>
  <c r="H241" i="1"/>
  <c r="I240" i="1"/>
  <c r="L239" i="1"/>
  <c r="I238" i="1"/>
  <c r="J237" i="1"/>
  <c r="I236" i="1"/>
  <c r="I235" i="1"/>
  <c r="K234" i="1"/>
  <c r="K233" i="1"/>
  <c r="I232" i="1"/>
  <c r="H231" i="1"/>
  <c r="F230" i="1"/>
  <c r="P228" i="1"/>
  <c r="J227" i="1"/>
  <c r="Q222" i="1"/>
  <c r="O216" i="1"/>
  <c r="E212" i="1"/>
  <c r="E207" i="1"/>
  <c r="D201" i="1"/>
  <c r="C195" i="1"/>
  <c r="I185" i="1"/>
  <c r="N167" i="1"/>
  <c r="K123" i="1"/>
  <c r="E276" i="1"/>
  <c r="M275" i="1"/>
  <c r="B275" i="1"/>
  <c r="K274" i="1"/>
  <c r="B274" i="1"/>
  <c r="H273" i="1"/>
  <c r="P272" i="1"/>
  <c r="H272" i="1"/>
  <c r="N271" i="1"/>
  <c r="E271" i="1"/>
  <c r="M270" i="1"/>
  <c r="B270" i="1"/>
  <c r="K269" i="1"/>
  <c r="B269" i="1"/>
  <c r="H268" i="1"/>
  <c r="P267" i="1"/>
  <c r="H267" i="1"/>
  <c r="N266" i="1"/>
  <c r="E266" i="1"/>
  <c r="L265" i="1"/>
  <c r="B265" i="1"/>
  <c r="K264" i="1"/>
  <c r="A264" i="1"/>
  <c r="H263" i="1"/>
  <c r="O262" i="1"/>
  <c r="G262" i="1"/>
  <c r="N261" i="1"/>
  <c r="D261" i="1"/>
  <c r="L260" i="1"/>
  <c r="A260" i="1"/>
  <c r="J259" i="1"/>
  <c r="A259" i="1"/>
  <c r="G258" i="1"/>
  <c r="O257" i="1"/>
  <c r="G257" i="1"/>
  <c r="M256" i="1"/>
  <c r="D256" i="1"/>
  <c r="L255" i="1"/>
  <c r="A255" i="1"/>
  <c r="J254" i="1"/>
  <c r="A254" i="1"/>
  <c r="G253" i="1"/>
  <c r="O252" i="1"/>
  <c r="G252" i="1"/>
  <c r="I251" i="1"/>
  <c r="N250" i="1"/>
  <c r="B250" i="1"/>
  <c r="D249" i="1"/>
  <c r="K248" i="1"/>
  <c r="P247" i="1"/>
  <c r="A247" i="1"/>
  <c r="F246" i="1"/>
  <c r="L245" i="1"/>
  <c r="O244" i="1"/>
  <c r="C244" i="1"/>
  <c r="D243" i="1"/>
  <c r="C242" i="1"/>
  <c r="F241" i="1"/>
  <c r="E240" i="1"/>
  <c r="E239" i="1"/>
  <c r="C238" i="1"/>
  <c r="G237" i="1"/>
  <c r="E236" i="1"/>
  <c r="E235" i="1"/>
  <c r="F234" i="1"/>
  <c r="C233" i="1"/>
  <c r="G232" i="1"/>
  <c r="F231" i="1"/>
  <c r="N229" i="1"/>
  <c r="I228" i="1"/>
  <c r="F227" i="1"/>
  <c r="F221" i="1"/>
  <c r="E216" i="1"/>
  <c r="E211" i="1"/>
  <c r="B205" i="1"/>
  <c r="K200" i="1"/>
  <c r="Q193" i="1"/>
  <c r="E180" i="1"/>
  <c r="H162" i="1"/>
  <c r="E227" i="1"/>
  <c r="M226" i="1"/>
  <c r="B226" i="1"/>
  <c r="K225" i="1"/>
  <c r="B225" i="1"/>
  <c r="H224" i="1"/>
  <c r="P223" i="1"/>
  <c r="H223" i="1"/>
  <c r="N222" i="1"/>
  <c r="E222" i="1"/>
  <c r="L221" i="1"/>
  <c r="B221" i="1"/>
  <c r="K220" i="1"/>
  <c r="A220" i="1"/>
  <c r="H219" i="1"/>
  <c r="O218" i="1"/>
  <c r="G218" i="1"/>
  <c r="N217" i="1"/>
  <c r="D217" i="1"/>
  <c r="L216" i="1"/>
  <c r="A216" i="1"/>
  <c r="J215" i="1"/>
  <c r="A215" i="1"/>
  <c r="G214" i="1"/>
  <c r="O213" i="1"/>
  <c r="G213" i="1"/>
  <c r="M212" i="1"/>
  <c r="D212" i="1"/>
  <c r="L211" i="1"/>
  <c r="A211" i="1"/>
  <c r="J210" i="1"/>
  <c r="A210" i="1"/>
  <c r="G209" i="1"/>
  <c r="O208" i="1"/>
  <c r="G208" i="1"/>
  <c r="M207" i="1"/>
  <c r="D207" i="1"/>
  <c r="K206" i="1"/>
  <c r="A206" i="1"/>
  <c r="J205" i="1"/>
  <c r="Q204" i="1"/>
  <c r="G204" i="1"/>
  <c r="N203" i="1"/>
  <c r="F203" i="1"/>
  <c r="M202" i="1"/>
  <c r="C202" i="1"/>
  <c r="K201" i="1"/>
  <c r="Q200" i="1"/>
  <c r="I200" i="1"/>
  <c r="Q199" i="1"/>
  <c r="F199" i="1"/>
  <c r="N198" i="1"/>
  <c r="F198" i="1"/>
  <c r="H197" i="1"/>
  <c r="M196" i="1"/>
  <c r="O195" i="1"/>
  <c r="M194" i="1"/>
  <c r="P193" i="1"/>
  <c r="Q192" i="1"/>
  <c r="J191" i="1"/>
  <c r="E190" i="1"/>
  <c r="E189" i="1"/>
  <c r="L187" i="1"/>
  <c r="H186" i="1"/>
  <c r="A185" i="1"/>
  <c r="K183" i="1"/>
  <c r="I182" i="1"/>
  <c r="B181" i="1"/>
  <c r="L179" i="1"/>
  <c r="G178" i="1"/>
  <c r="D177" i="1"/>
  <c r="O175" i="1"/>
  <c r="G174" i="1"/>
  <c r="I172" i="1"/>
  <c r="I169" i="1"/>
  <c r="F167" i="1"/>
  <c r="N164" i="1"/>
  <c r="Q160" i="1"/>
  <c r="L157" i="1"/>
  <c r="L154" i="1"/>
  <c r="D150" i="1"/>
  <c r="D145" i="1"/>
  <c r="M137" i="1"/>
  <c r="G130" i="1"/>
  <c r="J121" i="1"/>
  <c r="D227" i="1"/>
  <c r="J226" i="1"/>
  <c r="A226" i="1"/>
  <c r="H225" i="1"/>
  <c r="O224" i="1"/>
  <c r="G224" i="1"/>
  <c r="N223" i="1"/>
  <c r="D223" i="1"/>
  <c r="K222" i="1"/>
  <c r="C222" i="1"/>
  <c r="J221" i="1"/>
  <c r="Q220" i="1"/>
  <c r="H220" i="1"/>
  <c r="N219" i="1"/>
  <c r="F219" i="1"/>
  <c r="N218" i="1"/>
  <c r="C218" i="1"/>
  <c r="K217" i="1"/>
  <c r="C217" i="1"/>
  <c r="I216" i="1"/>
  <c r="Q215" i="1"/>
  <c r="H215" i="1"/>
  <c r="N214" i="1"/>
  <c r="F214" i="1"/>
  <c r="N213" i="1"/>
  <c r="C213" i="1"/>
  <c r="K212" i="1"/>
  <c r="C212" i="1"/>
  <c r="I211" i="1"/>
  <c r="Q210" i="1"/>
  <c r="G210" i="1"/>
  <c r="N209" i="1"/>
  <c r="F209" i="1"/>
  <c r="M208" i="1"/>
  <c r="C208" i="1"/>
  <c r="J207" i="1"/>
  <c r="B207" i="1"/>
  <c r="I206" i="1"/>
  <c r="P205" i="1"/>
  <c r="G205" i="1"/>
  <c r="M204" i="1"/>
  <c r="E204" i="1"/>
  <c r="M203" i="1"/>
  <c r="B203" i="1"/>
  <c r="J202" i="1"/>
  <c r="B202" i="1"/>
  <c r="H201" i="1"/>
  <c r="P200" i="1"/>
  <c r="G200" i="1"/>
  <c r="M199" i="1"/>
  <c r="E199" i="1"/>
  <c r="M198" i="1"/>
  <c r="A198" i="1"/>
  <c r="F197" i="1"/>
  <c r="L196" i="1"/>
  <c r="J195" i="1"/>
  <c r="K194" i="1"/>
  <c r="J193" i="1"/>
  <c r="J192" i="1"/>
  <c r="H191" i="1"/>
  <c r="A190" i="1"/>
  <c r="K188" i="1"/>
  <c r="D187" i="1"/>
  <c r="C186" i="1"/>
  <c r="M184" i="1"/>
  <c r="G183" i="1"/>
  <c r="C182" i="1"/>
  <c r="J180" i="1"/>
  <c r="G179" i="1"/>
  <c r="C178" i="1"/>
  <c r="M176" i="1"/>
  <c r="H175" i="1"/>
  <c r="D174" i="1"/>
  <c r="L171" i="1"/>
  <c r="D169" i="1"/>
  <c r="L166" i="1"/>
  <c r="K163" i="1"/>
  <c r="K160" i="1"/>
  <c r="F157" i="1"/>
  <c r="B153" i="1"/>
  <c r="A149" i="1"/>
  <c r="D143" i="1"/>
  <c r="L135" i="1"/>
  <c r="O128" i="1"/>
  <c r="P111" i="1"/>
  <c r="Q226" i="1"/>
  <c r="G226" i="1"/>
  <c r="P225" i="1"/>
  <c r="F225" i="1"/>
  <c r="M224" i="1"/>
  <c r="D224" i="1"/>
  <c r="J223" i="1"/>
  <c r="B223" i="1"/>
  <c r="J222" i="1"/>
  <c r="P221" i="1"/>
  <c r="G221" i="1"/>
  <c r="P220" i="1"/>
  <c r="E220" i="1"/>
  <c r="M219" i="1"/>
  <c r="D219" i="1"/>
  <c r="J218" i="1"/>
  <c r="B218" i="1"/>
  <c r="J217" i="1"/>
  <c r="P216" i="1"/>
  <c r="G216" i="1"/>
  <c r="P215" i="1"/>
  <c r="E215" i="1"/>
  <c r="M214" i="1"/>
  <c r="C214" i="1"/>
  <c r="J213" i="1"/>
  <c r="B213" i="1"/>
  <c r="I212" i="1"/>
  <c r="P211" i="1"/>
  <c r="F211" i="1"/>
  <c r="O210" i="1"/>
  <c r="E210" i="1"/>
  <c r="L209" i="1"/>
  <c r="C209" i="1"/>
  <c r="I208" i="1"/>
  <c r="A208" i="1"/>
  <c r="I207" i="1"/>
  <c r="O206" i="1"/>
  <c r="F206" i="1"/>
  <c r="O205" i="1"/>
  <c r="D205" i="1"/>
  <c r="L204" i="1"/>
  <c r="C204" i="1"/>
  <c r="I203" i="1"/>
  <c r="A203" i="1"/>
  <c r="I202" i="1"/>
  <c r="O201" i="1"/>
  <c r="F201" i="1"/>
  <c r="O200" i="1"/>
  <c r="D200" i="1"/>
  <c r="L199" i="1"/>
  <c r="B199" i="1"/>
  <c r="I198" i="1"/>
  <c r="P197" i="1"/>
  <c r="C197" i="1"/>
  <c r="F196" i="1"/>
  <c r="D195" i="1"/>
  <c r="H194" i="1"/>
  <c r="F193" i="1"/>
  <c r="E192" i="1"/>
  <c r="Q190" i="1"/>
  <c r="H189" i="1"/>
  <c r="G188" i="1"/>
  <c r="C187" i="1"/>
  <c r="J185" i="1"/>
  <c r="F184" i="1"/>
  <c r="C183" i="1"/>
  <c r="M181" i="1"/>
  <c r="I180" i="1"/>
  <c r="D179" i="1"/>
  <c r="L177" i="1"/>
  <c r="I176" i="1"/>
  <c r="D175" i="1"/>
  <c r="F173" i="1"/>
  <c r="C171" i="1"/>
  <c r="Q168" i="1"/>
  <c r="N165" i="1"/>
  <c r="C163" i="1"/>
  <c r="J159" i="1"/>
  <c r="N155" i="1"/>
  <c r="N152" i="1"/>
  <c r="E148" i="1"/>
  <c r="F141" i="1"/>
  <c r="E134" i="1"/>
  <c r="C126" i="1"/>
  <c r="A91" i="1"/>
  <c r="N284" i="1"/>
  <c r="J284" i="1"/>
  <c r="F284" i="1"/>
  <c r="B284" i="1"/>
  <c r="O283" i="1"/>
  <c r="K283" i="1"/>
  <c r="G283" i="1"/>
  <c r="C283" i="1"/>
  <c r="P282" i="1"/>
  <c r="L282" i="1"/>
  <c r="H282" i="1"/>
  <c r="D282" i="1"/>
  <c r="Q281" i="1"/>
  <c r="M281" i="1"/>
  <c r="I281" i="1"/>
  <c r="E281" i="1"/>
  <c r="A281" i="1"/>
  <c r="N280" i="1"/>
  <c r="J280" i="1"/>
  <c r="F280" i="1"/>
  <c r="B280" i="1"/>
  <c r="O279" i="1"/>
  <c r="K279" i="1"/>
  <c r="G279" i="1"/>
  <c r="C279" i="1"/>
  <c r="P278" i="1"/>
  <c r="L278" i="1"/>
  <c r="H278" i="1"/>
  <c r="D278" i="1"/>
  <c r="Q277" i="1"/>
  <c r="M277" i="1"/>
  <c r="I277" i="1"/>
  <c r="E277" i="1"/>
  <c r="A277" i="1"/>
  <c r="N276" i="1"/>
  <c r="J276" i="1"/>
  <c r="F276" i="1"/>
  <c r="B276" i="1"/>
  <c r="O275" i="1"/>
  <c r="K275" i="1"/>
  <c r="G275" i="1"/>
  <c r="C275" i="1"/>
  <c r="P274" i="1"/>
  <c r="L274" i="1"/>
  <c r="H274" i="1"/>
  <c r="D274" i="1"/>
  <c r="Q273" i="1"/>
  <c r="M273" i="1"/>
  <c r="I273" i="1"/>
  <c r="E273" i="1"/>
  <c r="A273" i="1"/>
  <c r="N272" i="1"/>
  <c r="J272" i="1"/>
  <c r="F272" i="1"/>
  <c r="B272" i="1"/>
  <c r="O271" i="1"/>
  <c r="K271" i="1"/>
  <c r="G271" i="1"/>
  <c r="C271" i="1"/>
  <c r="P270" i="1"/>
  <c r="L270" i="1"/>
  <c r="H270" i="1"/>
  <c r="D270" i="1"/>
  <c r="Q269" i="1"/>
  <c r="M269" i="1"/>
  <c r="I269" i="1"/>
  <c r="E269" i="1"/>
  <c r="A269" i="1"/>
  <c r="N268" i="1"/>
  <c r="J268" i="1"/>
  <c r="F268" i="1"/>
  <c r="B268" i="1"/>
  <c r="O267" i="1"/>
  <c r="K267" i="1"/>
  <c r="G267" i="1"/>
  <c r="C267" i="1"/>
  <c r="P266" i="1"/>
  <c r="L266" i="1"/>
  <c r="H266" i="1"/>
  <c r="D266" i="1"/>
  <c r="Q265" i="1"/>
  <c r="M265" i="1"/>
  <c r="I265" i="1"/>
  <c r="E265" i="1"/>
  <c r="A265" i="1"/>
  <c r="N264" i="1"/>
  <c r="J264" i="1"/>
  <c r="F264" i="1"/>
  <c r="B264" i="1"/>
  <c r="O263" i="1"/>
  <c r="K263" i="1"/>
  <c r="G263" i="1"/>
  <c r="C263" i="1"/>
  <c r="P262" i="1"/>
  <c r="L262" i="1"/>
  <c r="H262" i="1"/>
  <c r="D262" i="1"/>
  <c r="Q261" i="1"/>
  <c r="M261" i="1"/>
  <c r="I261" i="1"/>
  <c r="E261" i="1"/>
  <c r="A261" i="1"/>
  <c r="N260" i="1"/>
  <c r="J260" i="1"/>
  <c r="F260" i="1"/>
  <c r="B260" i="1"/>
  <c r="O259" i="1"/>
  <c r="K259" i="1"/>
  <c r="G259" i="1"/>
  <c r="C259" i="1"/>
  <c r="P258" i="1"/>
  <c r="L258" i="1"/>
  <c r="H258" i="1"/>
  <c r="D258" i="1"/>
  <c r="Q257" i="1"/>
  <c r="M257" i="1"/>
  <c r="I257" i="1"/>
  <c r="E257" i="1"/>
  <c r="A257" i="1"/>
  <c r="N256" i="1"/>
  <c r="J256" i="1"/>
  <c r="F256" i="1"/>
  <c r="B256" i="1"/>
  <c r="O255" i="1"/>
  <c r="K255" i="1"/>
  <c r="G255" i="1"/>
  <c r="C255" i="1"/>
  <c r="P254" i="1"/>
  <c r="L254" i="1"/>
  <c r="H254" i="1"/>
  <c r="D254" i="1"/>
  <c r="Q253" i="1"/>
  <c r="M253" i="1"/>
  <c r="I253" i="1"/>
  <c r="E253" i="1"/>
  <c r="A253" i="1"/>
  <c r="N252" i="1"/>
  <c r="J252" i="1"/>
  <c r="F252" i="1"/>
  <c r="B252" i="1"/>
  <c r="O251" i="1"/>
  <c r="K251" i="1"/>
  <c r="G251" i="1"/>
  <c r="C251" i="1"/>
  <c r="P250" i="1"/>
  <c r="L250" i="1"/>
  <c r="H250" i="1"/>
  <c r="D250" i="1"/>
  <c r="Q249" i="1"/>
  <c r="M249" i="1"/>
  <c r="I249" i="1"/>
  <c r="E249" i="1"/>
  <c r="A249" i="1"/>
  <c r="N248" i="1"/>
  <c r="J248" i="1"/>
  <c r="F248" i="1"/>
  <c r="B248" i="1"/>
  <c r="O247" i="1"/>
  <c r="K247" i="1"/>
  <c r="G247" i="1"/>
  <c r="C247" i="1"/>
  <c r="P246" i="1"/>
  <c r="L246" i="1"/>
  <c r="H246" i="1"/>
  <c r="D246" i="1"/>
  <c r="Q245" i="1"/>
  <c r="M245" i="1"/>
  <c r="I245" i="1"/>
  <c r="E245" i="1"/>
  <c r="A245" i="1"/>
  <c r="N244" i="1"/>
  <c r="J244" i="1"/>
  <c r="F244" i="1"/>
  <c r="B244" i="1"/>
  <c r="O243" i="1"/>
  <c r="J243" i="1"/>
  <c r="E243" i="1"/>
  <c r="Q242" i="1"/>
  <c r="K242" i="1"/>
  <c r="F242" i="1"/>
  <c r="A242" i="1"/>
  <c r="L241" i="1"/>
  <c r="G241" i="1"/>
  <c r="B241" i="1"/>
  <c r="M240" i="1"/>
  <c r="H240" i="1"/>
  <c r="C240" i="1"/>
  <c r="N239" i="1"/>
  <c r="I239" i="1"/>
  <c r="D239" i="1"/>
  <c r="O238" i="1"/>
  <c r="J238" i="1"/>
  <c r="E238" i="1"/>
  <c r="P237" i="1"/>
  <c r="K237" i="1"/>
  <c r="F237" i="1"/>
  <c r="Q236" i="1"/>
  <c r="L236" i="1"/>
  <c r="G236" i="1"/>
  <c r="A236" i="1"/>
  <c r="M235" i="1"/>
  <c r="H235" i="1"/>
  <c r="B235" i="1"/>
  <c r="N234" i="1"/>
  <c r="I234" i="1"/>
  <c r="C234" i="1"/>
  <c r="O233" i="1"/>
  <c r="J233" i="1"/>
  <c r="D233" i="1"/>
  <c r="P232" i="1"/>
  <c r="K232" i="1"/>
  <c r="E232" i="1"/>
  <c r="Q231" i="1"/>
  <c r="L231" i="1"/>
  <c r="E231" i="1"/>
  <c r="N230" i="1"/>
  <c r="G230" i="1"/>
  <c r="A230" i="1"/>
  <c r="J229" i="1"/>
  <c r="C229" i="1"/>
  <c r="M228" i="1"/>
  <c r="E228" i="1"/>
  <c r="P227" i="1"/>
  <c r="I227" i="1"/>
  <c r="A227" i="1"/>
  <c r="K226" i="1"/>
  <c r="E226" i="1"/>
  <c r="N225" i="1"/>
  <c r="G225" i="1"/>
  <c r="Q224" i="1"/>
  <c r="I224" i="1"/>
  <c r="C224" i="1"/>
  <c r="M223" i="1"/>
  <c r="E223" i="1"/>
  <c r="O222" i="1"/>
  <c r="I222" i="1"/>
  <c r="A222" i="1"/>
  <c r="K221" i="1"/>
  <c r="D221" i="1"/>
  <c r="M220" i="1"/>
  <c r="G220" i="1"/>
  <c r="Q219" i="1"/>
  <c r="I219" i="1"/>
  <c r="B219" i="1"/>
  <c r="M218" i="1"/>
  <c r="E218" i="1"/>
  <c r="O217" i="1"/>
  <c r="H217" i="1"/>
  <c r="Q216" i="1"/>
  <c r="K216" i="1"/>
  <c r="D216" i="1"/>
  <c r="M215" i="1"/>
  <c r="F215" i="1"/>
  <c r="Q214" i="1"/>
  <c r="I214" i="1"/>
  <c r="B214" i="1"/>
  <c r="L213" i="1"/>
  <c r="D213" i="1"/>
  <c r="O212" i="1"/>
  <c r="H212" i="1"/>
  <c r="Q211" i="1"/>
  <c r="J211" i="1"/>
  <c r="D211" i="1"/>
  <c r="M210" i="1"/>
  <c r="F210" i="1"/>
  <c r="P209" i="1"/>
  <c r="H209" i="1"/>
  <c r="B209" i="1"/>
  <c r="L208" i="1"/>
  <c r="D208" i="1"/>
  <c r="N207" i="1"/>
  <c r="H207" i="1"/>
  <c r="Q206" i="1"/>
  <c r="J206" i="1"/>
  <c r="C206" i="1"/>
  <c r="L205" i="1"/>
  <c r="F205" i="1"/>
  <c r="P204" i="1"/>
  <c r="H204" i="1"/>
  <c r="A204" i="1"/>
  <c r="L203" i="1"/>
  <c r="D203" i="1"/>
  <c r="N202" i="1"/>
  <c r="G202" i="1"/>
  <c r="P201" i="1"/>
  <c r="J201" i="1"/>
  <c r="C201" i="1"/>
  <c r="L200" i="1"/>
  <c r="E200" i="1"/>
  <c r="P199" i="1"/>
  <c r="H199" i="1"/>
  <c r="A199" i="1"/>
  <c r="K198" i="1"/>
  <c r="B198" i="1"/>
  <c r="K197" i="1"/>
  <c r="B197" i="1"/>
  <c r="G196" i="1"/>
  <c r="L195" i="1"/>
  <c r="B195" i="1"/>
  <c r="D194" i="1"/>
  <c r="I193" i="1"/>
  <c r="M192" i="1"/>
  <c r="N191" i="1"/>
  <c r="P190" i="1"/>
  <c r="P189" i="1"/>
  <c r="N188" i="1"/>
  <c r="N187" i="1"/>
  <c r="P186" i="1"/>
  <c r="P185" i="1"/>
  <c r="O184" i="1"/>
  <c r="P183" i="1"/>
  <c r="M182" i="1"/>
  <c r="P181" i="1"/>
  <c r="Q180" i="1"/>
  <c r="O179" i="1"/>
  <c r="P178" i="1"/>
  <c r="A178" i="1"/>
  <c r="O176" i="1"/>
  <c r="P175" i="1"/>
  <c r="Q174" i="1"/>
  <c r="J173" i="1"/>
  <c r="F172" i="1"/>
  <c r="E170" i="1"/>
  <c r="B168" i="1"/>
  <c r="C166" i="1"/>
  <c r="I164" i="1"/>
  <c r="N161" i="1"/>
  <c r="B159" i="1"/>
  <c r="I156" i="1"/>
  <c r="J153" i="1"/>
  <c r="C151" i="1"/>
  <c r="L147" i="1"/>
  <c r="O143" i="1"/>
  <c r="C140" i="1"/>
  <c r="E137" i="1"/>
  <c r="F133" i="1"/>
  <c r="I129" i="1"/>
  <c r="A125" i="1"/>
  <c r="C119" i="1"/>
  <c r="F109" i="1"/>
  <c r="I81" i="1"/>
  <c r="J117" i="1"/>
  <c r="J103" i="1"/>
  <c r="K54" i="1"/>
  <c r="M145" i="1"/>
  <c r="E142" i="1"/>
  <c r="G138" i="1"/>
  <c r="H135" i="1"/>
  <c r="N131" i="1"/>
  <c r="Q126" i="1"/>
  <c r="D122" i="1"/>
  <c r="F116" i="1"/>
  <c r="I98" i="1"/>
  <c r="E9" i="1"/>
  <c r="Q64" i="1"/>
  <c r="I95" i="1"/>
  <c r="G106" i="1"/>
  <c r="Q114" i="1"/>
  <c r="F120" i="1"/>
  <c r="Q122" i="1"/>
  <c r="H125" i="1"/>
  <c r="E128" i="1"/>
  <c r="Q130" i="1"/>
  <c r="M132" i="1"/>
  <c r="O134" i="1"/>
  <c r="N136" i="1"/>
  <c r="O138" i="1"/>
  <c r="M140" i="1"/>
  <c r="M142" i="1"/>
  <c r="K144" i="1"/>
  <c r="M146" i="1"/>
  <c r="O148" i="1"/>
  <c r="K150" i="1"/>
  <c r="G152" i="1"/>
  <c r="Q153" i="1"/>
  <c r="F155" i="1"/>
  <c r="O156" i="1"/>
  <c r="H158" i="1"/>
  <c r="O159" i="1"/>
  <c r="H161" i="1"/>
  <c r="O162" i="1"/>
  <c r="C164" i="1"/>
  <c r="E165" i="1"/>
  <c r="H166" i="1"/>
  <c r="H167" i="1"/>
  <c r="K168" i="1"/>
  <c r="N169" i="1"/>
  <c r="O170" i="1"/>
  <c r="A172" i="1"/>
  <c r="Q172" i="1"/>
  <c r="M173" i="1"/>
  <c r="K174" i="1"/>
  <c r="C175" i="1"/>
  <c r="K175" i="1"/>
  <c r="E176" i="1"/>
  <c r="N176" i="1"/>
  <c r="F177" i="1"/>
  <c r="Q177" i="1"/>
  <c r="H178" i="1"/>
  <c r="Q178" i="1"/>
  <c r="K179" i="1"/>
  <c r="C180" i="1"/>
  <c r="K180" i="1"/>
  <c r="E181" i="1"/>
  <c r="N181" i="1"/>
  <c r="G182" i="1"/>
  <c r="Q182" i="1"/>
  <c r="H183" i="1"/>
  <c r="A184" i="1"/>
  <c r="K184" i="1"/>
  <c r="D185" i="1"/>
  <c r="L185" i="1"/>
  <c r="E186" i="1"/>
  <c r="O186" i="1"/>
  <c r="G187" i="1"/>
  <c r="A188" i="1"/>
  <c r="I188" i="1"/>
  <c r="A189" i="1"/>
  <c r="L189" i="1"/>
  <c r="D190" i="1"/>
  <c r="L190" i="1"/>
  <c r="F191" i="1"/>
  <c r="O191" i="1"/>
  <c r="G192" i="1"/>
  <c r="O192" i="1"/>
  <c r="E193" i="1"/>
  <c r="L193" i="1"/>
  <c r="C194" i="1"/>
  <c r="I194" i="1"/>
  <c r="P194" i="1"/>
  <c r="G195" i="1"/>
  <c r="N195" i="1"/>
  <c r="C196" i="1"/>
  <c r="K196" i="1"/>
  <c r="P196" i="1"/>
  <c r="D197" i="1"/>
  <c r="J197" i="1"/>
  <c r="O197" i="1"/>
  <c r="C198" i="1"/>
  <c r="O73" i="1"/>
  <c r="F101" i="1"/>
  <c r="J113" i="1"/>
  <c r="Q120" i="1"/>
  <c r="E124" i="1"/>
  <c r="J127" i="1"/>
  <c r="F131" i="1"/>
  <c r="P133" i="1"/>
  <c r="F136" i="1"/>
  <c r="F139" i="1"/>
  <c r="M141" i="1"/>
  <c r="F144" i="1"/>
  <c r="F147" i="1"/>
  <c r="L149" i="1"/>
  <c r="A152" i="1"/>
  <c r="E154" i="1"/>
  <c r="C156" i="1"/>
  <c r="A158" i="1"/>
  <c r="E160" i="1"/>
  <c r="A162" i="1"/>
  <c r="P163" i="1"/>
  <c r="J165" i="1"/>
  <c r="Q166" i="1"/>
  <c r="F168" i="1"/>
  <c r="Q169" i="1"/>
  <c r="H171" i="1"/>
  <c r="M172" i="1"/>
  <c r="Q173" i="1"/>
  <c r="O174" i="1"/>
  <c r="J175" i="1"/>
  <c r="G176" i="1"/>
  <c r="B177" i="1"/>
  <c r="M177" i="1"/>
  <c r="K178" i="1"/>
  <c r="F179" i="1"/>
  <c r="A180" i="1"/>
  <c r="O180" i="1"/>
  <c r="I181" i="1"/>
  <c r="D182" i="1"/>
  <c r="B183" i="1"/>
  <c r="N183" i="1"/>
  <c r="G184" i="1"/>
  <c r="E185" i="1"/>
  <c r="Q185" i="1"/>
  <c r="M186" i="1"/>
  <c r="J187" i="1"/>
  <c r="C188" i="1"/>
  <c r="Q188" i="1"/>
  <c r="M189" i="1"/>
  <c r="I190" i="1"/>
  <c r="C191" i="1"/>
  <c r="P191" i="1"/>
  <c r="K192" i="1"/>
  <c r="D193" i="1"/>
  <c r="N193" i="1"/>
  <c r="E194" i="1"/>
  <c r="O194" i="1"/>
  <c r="H195" i="1"/>
  <c r="A196" i="1"/>
  <c r="I196" i="1"/>
  <c r="Q196" i="1"/>
  <c r="G197" i="1"/>
  <c r="N197" i="1"/>
  <c r="E198" i="1"/>
  <c r="J198" i="1"/>
  <c r="O198" i="1"/>
  <c r="D199" i="1"/>
  <c r="I199" i="1"/>
  <c r="N199" i="1"/>
  <c r="C200" i="1"/>
  <c r="H200" i="1"/>
  <c r="M200" i="1"/>
  <c r="B201" i="1"/>
  <c r="G201" i="1"/>
  <c r="L201" i="1"/>
  <c r="A202" i="1"/>
  <c r="F202" i="1"/>
  <c r="K202" i="1"/>
  <c r="Q202" i="1"/>
  <c r="E203" i="1"/>
  <c r="J203" i="1"/>
  <c r="P203" i="1"/>
  <c r="D204" i="1"/>
  <c r="I204" i="1"/>
  <c r="O204" i="1"/>
  <c r="C205" i="1"/>
  <c r="H205" i="1"/>
  <c r="N205" i="1"/>
  <c r="B206" i="1"/>
  <c r="G206" i="1"/>
  <c r="M206" i="1"/>
  <c r="A207" i="1"/>
  <c r="F207" i="1"/>
  <c r="L207" i="1"/>
  <c r="Q207" i="1"/>
  <c r="E208" i="1"/>
  <c r="K208" i="1"/>
  <c r="P208" i="1"/>
  <c r="D209" i="1"/>
  <c r="J209" i="1"/>
  <c r="O209" i="1"/>
  <c r="C210" i="1"/>
  <c r="I210" i="1"/>
  <c r="N210" i="1"/>
  <c r="B211" i="1"/>
  <c r="H211" i="1"/>
  <c r="M211" i="1"/>
  <c r="A212" i="1"/>
  <c r="G212" i="1"/>
  <c r="L212" i="1"/>
  <c r="Q212" i="1"/>
  <c r="F213" i="1"/>
  <c r="K213" i="1"/>
  <c r="P213" i="1"/>
  <c r="E214" i="1"/>
  <c r="J214" i="1"/>
  <c r="O214" i="1"/>
  <c r="D215" i="1"/>
  <c r="I215" i="1"/>
  <c r="N215" i="1"/>
  <c r="C216" i="1"/>
  <c r="H216" i="1"/>
  <c r="M216" i="1"/>
  <c r="B217" i="1"/>
  <c r="G217" i="1"/>
  <c r="L217" i="1"/>
  <c r="A218" i="1"/>
  <c r="F218" i="1"/>
  <c r="K218" i="1"/>
  <c r="Q218" i="1"/>
  <c r="E219" i="1"/>
  <c r="J219" i="1"/>
  <c r="P219" i="1"/>
  <c r="D220" i="1"/>
  <c r="I220" i="1"/>
  <c r="O220" i="1"/>
  <c r="C221" i="1"/>
  <c r="H221" i="1"/>
  <c r="N221" i="1"/>
  <c r="B222" i="1"/>
  <c r="G222" i="1"/>
  <c r="M222" i="1"/>
  <c r="A223" i="1"/>
  <c r="F223" i="1"/>
  <c r="L223" i="1"/>
  <c r="Q223" i="1"/>
  <c r="E224" i="1"/>
  <c r="K224" i="1"/>
  <c r="P224" i="1"/>
  <c r="D225" i="1"/>
  <c r="J225" i="1"/>
  <c r="O225" i="1"/>
  <c r="C226" i="1"/>
  <c r="I226" i="1"/>
  <c r="N226" i="1"/>
  <c r="B227" i="1"/>
  <c r="H227" i="1"/>
  <c r="M227" i="1"/>
  <c r="A228" i="1"/>
  <c r="G228" i="1"/>
  <c r="L228" i="1"/>
  <c r="Q228" i="1"/>
  <c r="F229" i="1"/>
  <c r="K229" i="1"/>
  <c r="P229" i="1"/>
  <c r="E230" i="1"/>
  <c r="J230" i="1"/>
  <c r="O230" i="1"/>
  <c r="D231" i="1"/>
  <c r="I231" i="1"/>
  <c r="K243" i="1"/>
  <c r="G243" i="1"/>
  <c r="C243" i="1"/>
  <c r="P242" i="1"/>
  <c r="L242" i="1"/>
  <c r="H242" i="1"/>
  <c r="D242" i="1"/>
  <c r="Q241" i="1"/>
  <c r="M241" i="1"/>
  <c r="I241" i="1"/>
  <c r="E241" i="1"/>
  <c r="A241" i="1"/>
  <c r="N240" i="1"/>
  <c r="J240" i="1"/>
  <c r="F240" i="1"/>
  <c r="B240" i="1"/>
  <c r="O239" i="1"/>
  <c r="K239" i="1"/>
  <c r="G239" i="1"/>
  <c r="C239" i="1"/>
  <c r="P238" i="1"/>
  <c r="L238" i="1"/>
  <c r="H238" i="1"/>
  <c r="D238" i="1"/>
  <c r="Q237" i="1"/>
  <c r="M237" i="1"/>
  <c r="I237" i="1"/>
  <c r="E237" i="1"/>
  <c r="A237" i="1"/>
  <c r="N236" i="1"/>
  <c r="J236" i="1"/>
  <c r="F236" i="1"/>
  <c r="B236" i="1"/>
  <c r="O235" i="1"/>
  <c r="K235" i="1"/>
  <c r="G235" i="1"/>
  <c r="C235" i="1"/>
  <c r="P234" i="1"/>
  <c r="L234" i="1"/>
  <c r="H234" i="1"/>
  <c r="D234" i="1"/>
  <c r="Q233" i="1"/>
  <c r="M233" i="1"/>
  <c r="I233" i="1"/>
  <c r="E233" i="1"/>
  <c r="A233" i="1"/>
  <c r="N232" i="1"/>
  <c r="J232" i="1"/>
  <c r="F232" i="1"/>
  <c r="B232" i="1"/>
  <c r="O231" i="1"/>
  <c r="K231" i="1"/>
  <c r="G231" i="1"/>
  <c r="C231" i="1"/>
  <c r="P230" i="1"/>
  <c r="L230" i="1"/>
  <c r="H230" i="1"/>
  <c r="D230" i="1"/>
  <c r="Q229" i="1"/>
  <c r="M229" i="1"/>
  <c r="I229" i="1"/>
  <c r="E229" i="1"/>
  <c r="A229" i="1"/>
  <c r="N228" i="1"/>
  <c r="J228" i="1"/>
  <c r="F228" i="1"/>
  <c r="B228" i="1"/>
  <c r="O227" i="1"/>
  <c r="K227" i="1"/>
  <c r="G227" i="1"/>
  <c r="C227" i="1"/>
  <c r="P226" i="1"/>
  <c r="L226" i="1"/>
  <c r="H226" i="1"/>
  <c r="D226" i="1"/>
  <c r="Q225" i="1"/>
  <c r="M225" i="1"/>
  <c r="I225" i="1"/>
  <c r="E225" i="1"/>
  <c r="A225" i="1"/>
  <c r="N224" i="1"/>
  <c r="J224" i="1"/>
  <c r="F224" i="1"/>
  <c r="B224" i="1"/>
  <c r="O223" i="1"/>
  <c r="K223" i="1"/>
  <c r="G223" i="1"/>
  <c r="C223" i="1"/>
  <c r="P222" i="1"/>
  <c r="L222" i="1"/>
  <c r="H222" i="1"/>
  <c r="D222" i="1"/>
  <c r="Q221" i="1"/>
  <c r="M221" i="1"/>
  <c r="I221" i="1"/>
  <c r="E221" i="1"/>
  <c r="A221" i="1"/>
  <c r="N220" i="1"/>
  <c r="J220" i="1"/>
  <c r="F220" i="1"/>
  <c r="B220" i="1"/>
  <c r="O219" i="1"/>
  <c r="K219" i="1"/>
  <c r="G219" i="1"/>
  <c r="C219" i="1"/>
  <c r="P218" i="1"/>
  <c r="L218" i="1"/>
  <c r="H218" i="1"/>
  <c r="D218" i="1"/>
  <c r="Q217" i="1"/>
  <c r="M217" i="1"/>
  <c r="I217" i="1"/>
  <c r="E217" i="1"/>
  <c r="A217" i="1"/>
  <c r="N216" i="1"/>
  <c r="J216" i="1"/>
  <c r="F216" i="1"/>
  <c r="B216" i="1"/>
  <c r="O215" i="1"/>
  <c r="K215" i="1"/>
  <c r="G215" i="1"/>
  <c r="C215" i="1"/>
  <c r="P214" i="1"/>
  <c r="L214" i="1"/>
  <c r="H214" i="1"/>
  <c r="D214" i="1"/>
  <c r="Q213" i="1"/>
  <c r="M213" i="1"/>
  <c r="I213" i="1"/>
  <c r="E213" i="1"/>
  <c r="A213" i="1"/>
  <c r="N212" i="1"/>
  <c r="J212" i="1"/>
  <c r="F212" i="1"/>
  <c r="B212" i="1"/>
  <c r="O211" i="1"/>
  <c r="K211" i="1"/>
  <c r="G211" i="1"/>
  <c r="C211" i="1"/>
  <c r="P210" i="1"/>
  <c r="L210" i="1"/>
  <c r="H210" i="1"/>
  <c r="D210" i="1"/>
  <c r="Q209" i="1"/>
  <c r="M209" i="1"/>
  <c r="I209" i="1"/>
  <c r="E209" i="1"/>
  <c r="A209" i="1"/>
  <c r="N208" i="1"/>
  <c r="J208" i="1"/>
  <c r="F208" i="1"/>
  <c r="B208" i="1"/>
  <c r="O207" i="1"/>
  <c r="K207" i="1"/>
  <c r="G207" i="1"/>
  <c r="C207" i="1"/>
  <c r="P206" i="1"/>
  <c r="L206" i="1"/>
  <c r="H206" i="1"/>
  <c r="D206" i="1"/>
  <c r="Q205" i="1"/>
  <c r="M205" i="1"/>
  <c r="I205" i="1"/>
  <c r="E205" i="1"/>
  <c r="A205" i="1"/>
  <c r="N204" i="1"/>
  <c r="J204" i="1"/>
  <c r="F204" i="1"/>
  <c r="B204" i="1"/>
  <c r="O203" i="1"/>
  <c r="K203" i="1"/>
  <c r="G203" i="1"/>
  <c r="C203" i="1"/>
  <c r="P202" i="1"/>
  <c r="L202" i="1"/>
  <c r="H202" i="1"/>
  <c r="D202" i="1"/>
  <c r="Q201" i="1"/>
  <c r="M201" i="1"/>
  <c r="I201" i="1"/>
  <c r="E201" i="1"/>
  <c r="A201" i="1"/>
  <c r="N200" i="1"/>
  <c r="J200" i="1"/>
  <c r="F200" i="1"/>
  <c r="B200" i="1"/>
  <c r="O199" i="1"/>
  <c r="K199" i="1"/>
  <c r="G199" i="1"/>
  <c r="C199" i="1"/>
  <c r="P198" i="1"/>
  <c r="L198" i="1"/>
  <c r="H198" i="1"/>
  <c r="D198" i="1"/>
  <c r="Q197" i="1"/>
  <c r="M197" i="1"/>
  <c r="I197" i="1"/>
  <c r="E197" i="1"/>
  <c r="A197" i="1"/>
  <c r="N196" i="1"/>
  <c r="J196" i="1"/>
  <c r="E196" i="1"/>
  <c r="P195" i="1"/>
  <c r="K195" i="1"/>
  <c r="F195" i="1"/>
  <c r="Q194" i="1"/>
  <c r="L194" i="1"/>
  <c r="G194" i="1"/>
  <c r="A194" i="1"/>
  <c r="M193" i="1"/>
  <c r="H193" i="1"/>
  <c r="B193" i="1"/>
  <c r="N192" i="1"/>
  <c r="I192" i="1"/>
  <c r="B192" i="1"/>
  <c r="K191" i="1"/>
  <c r="D191" i="1"/>
  <c r="O190" i="1"/>
  <c r="G190" i="1"/>
  <c r="Q189" i="1"/>
  <c r="J189" i="1"/>
  <c r="B189" i="1"/>
  <c r="M188" i="1"/>
  <c r="F188" i="1"/>
  <c r="O187" i="1"/>
  <c r="H187" i="1"/>
  <c r="B187" i="1"/>
  <c r="K186" i="1"/>
  <c r="D186" i="1"/>
  <c r="N185" i="1"/>
  <c r="F185" i="1"/>
  <c r="Q184" i="1"/>
  <c r="J184" i="1"/>
  <c r="B184" i="1"/>
  <c r="L183" i="1"/>
  <c r="F183" i="1"/>
  <c r="O182" i="1"/>
  <c r="H182" i="1"/>
  <c r="A182" i="1"/>
  <c r="J181" i="1"/>
  <c r="D181" i="1"/>
  <c r="N180" i="1"/>
  <c r="F180" i="1"/>
  <c r="P179" i="1"/>
  <c r="J179" i="1"/>
  <c r="B179" i="1"/>
  <c r="L178" i="1"/>
  <c r="E178" i="1"/>
  <c r="N177" i="1"/>
  <c r="H177" i="1"/>
  <c r="A177" i="1"/>
  <c r="J176" i="1"/>
  <c r="C176" i="1"/>
  <c r="N175" i="1"/>
  <c r="F175" i="1"/>
  <c r="P174" i="1"/>
  <c r="I174" i="1"/>
  <c r="A174" i="1"/>
  <c r="L173" i="1"/>
  <c r="E173" i="1"/>
  <c r="N172" i="1"/>
  <c r="G172" i="1"/>
  <c r="O171" i="1"/>
  <c r="D171" i="1"/>
  <c r="M170" i="1"/>
  <c r="D170" i="1"/>
  <c r="J169" i="1"/>
  <c r="A169" i="1"/>
  <c r="J168" i="1"/>
  <c r="P167" i="1"/>
  <c r="G167" i="1"/>
  <c r="O166" i="1"/>
  <c r="D166" i="1"/>
  <c r="M165" i="1"/>
  <c r="D165" i="1"/>
  <c r="J164" i="1"/>
  <c r="A164" i="1"/>
  <c r="H163" i="1"/>
  <c r="L162" i="1"/>
  <c r="P161" i="1"/>
  <c r="D161" i="1"/>
  <c r="F160" i="1"/>
  <c r="L159" i="1"/>
  <c r="Q158" i="1"/>
  <c r="C158" i="1"/>
  <c r="H157" i="1"/>
  <c r="N156" i="1"/>
  <c r="P155" i="1"/>
  <c r="D155" i="1"/>
  <c r="I154" i="1"/>
  <c r="L153" i="1"/>
  <c r="A153" i="1"/>
  <c r="F152" i="1"/>
  <c r="G151" i="1"/>
  <c r="I150" i="1"/>
  <c r="I149" i="1"/>
  <c r="G148" i="1"/>
  <c r="G147" i="1"/>
  <c r="I146" i="1"/>
  <c r="I145" i="1"/>
  <c r="I144" i="1"/>
  <c r="J143" i="1"/>
  <c r="G142" i="1"/>
  <c r="I141" i="1"/>
  <c r="J140" i="1"/>
  <c r="H139" i="1"/>
  <c r="I138" i="1"/>
  <c r="L137" i="1"/>
  <c r="I136" i="1"/>
  <c r="J135" i="1"/>
  <c r="K134" i="1"/>
  <c r="I133" i="1"/>
  <c r="K132" i="1"/>
  <c r="L131" i="1"/>
  <c r="H130" i="1"/>
  <c r="D129" i="1"/>
  <c r="A128" i="1"/>
  <c r="K126" i="1"/>
  <c r="F125" i="1"/>
  <c r="O123" i="1"/>
  <c r="I122" i="1"/>
  <c r="F121" i="1"/>
  <c r="A120" i="1"/>
  <c r="K118" i="1"/>
  <c r="D117" i="1"/>
  <c r="B116" i="1"/>
  <c r="L114" i="1"/>
  <c r="E113" i="1"/>
  <c r="B111" i="1"/>
  <c r="B108" i="1"/>
  <c r="Q105" i="1"/>
  <c r="H103" i="1"/>
  <c r="E100" i="1"/>
  <c r="M97" i="1"/>
  <c r="N94" i="1"/>
  <c r="H89" i="1"/>
  <c r="G81" i="1"/>
  <c r="I72" i="1"/>
  <c r="N60" i="1"/>
  <c r="A53" i="1"/>
  <c r="E33" i="1"/>
  <c r="H119" i="1"/>
  <c r="E118" i="1"/>
  <c r="A117" i="1"/>
  <c r="H115" i="1"/>
  <c r="D114" i="1"/>
  <c r="D113" i="1"/>
  <c r="E110" i="1"/>
  <c r="N107" i="1"/>
  <c r="E105" i="1"/>
  <c r="D102" i="1"/>
  <c r="B100" i="1"/>
  <c r="J97" i="1"/>
  <c r="L92" i="1"/>
  <c r="J87" i="1"/>
  <c r="N79" i="1"/>
  <c r="G69" i="1"/>
  <c r="I60" i="1"/>
  <c r="G49" i="1"/>
  <c r="D18" i="1"/>
  <c r="E174" i="1"/>
  <c r="P173" i="1"/>
  <c r="H173" i="1"/>
  <c r="A173" i="1"/>
  <c r="K172" i="1"/>
  <c r="B172" i="1"/>
  <c r="J171" i="1"/>
  <c r="B171" i="1"/>
  <c r="H170" i="1"/>
  <c r="P169" i="1"/>
  <c r="F169" i="1"/>
  <c r="M168" i="1"/>
  <c r="E168" i="1"/>
  <c r="L167" i="1"/>
  <c r="B167" i="1"/>
  <c r="I166" i="1"/>
  <c r="A166" i="1"/>
  <c r="H165" i="1"/>
  <c r="O164" i="1"/>
  <c r="F164" i="1"/>
  <c r="L163" i="1"/>
  <c r="B163" i="1"/>
  <c r="G162" i="1"/>
  <c r="I161" i="1"/>
  <c r="N160" i="1"/>
  <c r="C160" i="1"/>
  <c r="F159" i="1"/>
  <c r="K158" i="1"/>
  <c r="N157" i="1"/>
  <c r="A157" i="1"/>
  <c r="G156" i="1"/>
  <c r="K155" i="1"/>
  <c r="O154" i="1"/>
  <c r="A154" i="1"/>
  <c r="H153" i="1"/>
  <c r="K152" i="1"/>
  <c r="O151" i="1"/>
  <c r="B151" i="1"/>
  <c r="P149" i="1"/>
  <c r="Q148" i="1"/>
  <c r="A148" i="1"/>
  <c r="O146" i="1"/>
  <c r="A146" i="1"/>
  <c r="B145" i="1"/>
  <c r="P143" i="1"/>
  <c r="Q142" i="1"/>
  <c r="C142" i="1"/>
  <c r="A141" i="1"/>
  <c r="B140" i="1"/>
  <c r="Q138" i="1"/>
  <c r="Q137" i="1"/>
  <c r="B137" i="1"/>
  <c r="B136" i="1"/>
  <c r="B135" i="1"/>
  <c r="Q133" i="1"/>
  <c r="D133" i="1"/>
  <c r="B132" i="1"/>
  <c r="B131" i="1"/>
  <c r="P129" i="1"/>
  <c r="F128" i="1"/>
  <c r="D127" i="1"/>
  <c r="Q125" i="1"/>
  <c r="I124" i="1"/>
  <c r="D123" i="1"/>
  <c r="A122" i="1"/>
  <c r="I120" i="1"/>
  <c r="D119" i="1"/>
  <c r="Q117" i="1"/>
  <c r="J116" i="1"/>
  <c r="G115" i="1"/>
  <c r="C114" i="1"/>
  <c r="E112" i="1"/>
  <c r="M109" i="1"/>
  <c r="K107" i="1"/>
  <c r="G104" i="1"/>
  <c r="P101" i="1"/>
  <c r="F99" i="1"/>
  <c r="B96" i="1"/>
  <c r="J92" i="1"/>
  <c r="P85" i="1"/>
  <c r="J75" i="1"/>
  <c r="H66" i="1"/>
  <c r="L57" i="1"/>
  <c r="G47" i="1"/>
  <c r="H3" i="1"/>
  <c r="M22" i="1"/>
  <c r="P39" i="1"/>
  <c r="J51" i="1"/>
  <c r="I57" i="1"/>
  <c r="B62" i="1"/>
  <c r="A68" i="1"/>
  <c r="J72" i="1"/>
  <c r="G78" i="1"/>
  <c r="F84" i="1"/>
  <c r="N88" i="1"/>
  <c r="B91" i="1"/>
  <c r="D94" i="1"/>
  <c r="N96" i="1"/>
  <c r="A98" i="1"/>
  <c r="L99" i="1"/>
  <c r="A101" i="1"/>
  <c r="K102" i="1"/>
  <c r="F104" i="1"/>
  <c r="J105" i="1"/>
  <c r="P106" i="1"/>
  <c r="J108" i="1"/>
  <c r="C110" i="1"/>
  <c r="G111" i="1"/>
  <c r="Q112" i="1"/>
  <c r="M113" i="1"/>
  <c r="H114" i="1"/>
  <c r="F115" i="1"/>
  <c r="P115" i="1"/>
  <c r="K116" i="1"/>
  <c r="I117" i="1"/>
  <c r="D118" i="1"/>
  <c r="O118" i="1"/>
  <c r="L119" i="1"/>
  <c r="G120" i="1"/>
  <c r="B121" i="1"/>
  <c r="Q121" i="1"/>
  <c r="K122" i="1"/>
  <c r="F123" i="1"/>
  <c r="C124" i="1"/>
  <c r="O124" i="1"/>
  <c r="I125" i="1"/>
  <c r="G126" i="1"/>
  <c r="B127" i="1"/>
  <c r="O127" i="1"/>
  <c r="K128" i="1"/>
  <c r="E129" i="1"/>
  <c r="A130" i="1"/>
  <c r="O130" i="1"/>
  <c r="G131" i="1"/>
  <c r="P131" i="1"/>
  <c r="J132" i="1"/>
  <c r="A133" i="1"/>
  <c r="J133" i="1"/>
  <c r="D134" i="1"/>
  <c r="M134" i="1"/>
  <c r="D135" i="1"/>
  <c r="O135" i="1"/>
  <c r="G136" i="1"/>
  <c r="Q136" i="1"/>
  <c r="J137" i="1"/>
  <c r="A138" i="1"/>
  <c r="K138" i="1"/>
  <c r="D139" i="1"/>
  <c r="N139" i="1"/>
  <c r="E140" i="1"/>
  <c r="O140" i="1"/>
  <c r="H141" i="1"/>
  <c r="Q141" i="1"/>
  <c r="K142" i="1"/>
  <c r="B143" i="1"/>
  <c r="K143" i="1"/>
  <c r="E144" i="1"/>
  <c r="N144" i="1"/>
  <c r="E145" i="1"/>
  <c r="P145" i="1"/>
  <c r="H146" i="1"/>
  <c r="Q146" i="1"/>
  <c r="K147" i="1"/>
  <c r="B148" i="1"/>
  <c r="K148" i="1"/>
  <c r="E149" i="1"/>
  <c r="N149" i="1"/>
  <c r="E150" i="1"/>
  <c r="P150" i="1"/>
  <c r="H151" i="1"/>
  <c r="P27" i="1"/>
  <c r="I47" i="1"/>
  <c r="Q55" i="1"/>
  <c r="M63" i="1"/>
  <c r="L69" i="1"/>
  <c r="P76" i="1"/>
  <c r="H84" i="1"/>
  <c r="F90" i="1"/>
  <c r="D93" i="1"/>
  <c r="O96" i="1"/>
  <c r="O98" i="1"/>
  <c r="Q100" i="1"/>
  <c r="B103" i="1"/>
  <c r="M104" i="1"/>
  <c r="O106" i="1"/>
  <c r="O108" i="1"/>
  <c r="Q110" i="1"/>
  <c r="K112" i="1"/>
  <c r="N113" i="1"/>
  <c r="O114" i="1"/>
  <c r="N115" i="1"/>
  <c r="Q116" i="1"/>
  <c r="N117" i="1"/>
  <c r="M118" i="1"/>
  <c r="O119" i="1"/>
  <c r="N120" i="1"/>
  <c r="L121" i="1"/>
  <c r="O122" i="1"/>
  <c r="N123" i="1"/>
  <c r="M124" i="1"/>
  <c r="N125" i="1"/>
  <c r="L126" i="1"/>
  <c r="K127" i="1"/>
  <c r="N128" i="1"/>
  <c r="M129" i="1"/>
  <c r="I130" i="1"/>
  <c r="H131" i="1"/>
  <c r="E132" i="1"/>
  <c r="Q132" i="1"/>
  <c r="N133" i="1"/>
  <c r="H134" i="1"/>
  <c r="C135" i="1"/>
  <c r="A136" i="1"/>
  <c r="M136" i="1"/>
  <c r="F137" i="1"/>
  <c r="D138" i="1"/>
  <c r="P138" i="1"/>
  <c r="K139" i="1"/>
  <c r="I140" i="1"/>
  <c r="B141" i="1"/>
  <c r="N141" i="1"/>
  <c r="L142" i="1"/>
  <c r="G143" i="1"/>
  <c r="A144" i="1"/>
  <c r="O144" i="1"/>
  <c r="J145" i="1"/>
  <c r="G146" i="1"/>
  <c r="C147" i="1"/>
  <c r="N147" i="1"/>
  <c r="J148" i="1"/>
  <c r="F149" i="1"/>
  <c r="C150" i="1"/>
  <c r="M150" i="1"/>
  <c r="J151" i="1"/>
  <c r="C152" i="1"/>
  <c r="M152" i="1"/>
  <c r="E153" i="1"/>
  <c r="P153" i="1"/>
  <c r="G154" i="1"/>
  <c r="P154" i="1"/>
  <c r="J155" i="1"/>
  <c r="B156" i="1"/>
  <c r="J156" i="1"/>
  <c r="D157" i="1"/>
  <c r="M157" i="1"/>
  <c r="E158" i="1"/>
  <c r="P158" i="1"/>
  <c r="G159" i="1"/>
  <c r="P159" i="1"/>
  <c r="J160" i="1"/>
  <c r="B161" i="1"/>
  <c r="J161" i="1"/>
  <c r="D162" i="1"/>
  <c r="M162" i="1"/>
  <c r="F163" i="1"/>
  <c r="O163" i="1"/>
  <c r="E164" i="1"/>
  <c r="K164" i="1"/>
  <c r="B165" i="1"/>
  <c r="I165" i="1"/>
  <c r="P165" i="1"/>
  <c r="G166" i="1"/>
  <c r="M166" i="1"/>
  <c r="C167" i="1"/>
  <c r="K167" i="1"/>
  <c r="A168" i="1"/>
  <c r="G168" i="1"/>
  <c r="O168" i="1"/>
  <c r="E169" i="1"/>
  <c r="L169" i="1"/>
  <c r="C170" i="1"/>
  <c r="I170" i="1"/>
  <c r="P170" i="1"/>
  <c r="G171" i="1"/>
  <c r="N171" i="1"/>
  <c r="C172" i="1"/>
  <c r="J172" i="1"/>
  <c r="O172" i="1"/>
  <c r="D173" i="1"/>
  <c r="I173" i="1"/>
  <c r="N173" i="1"/>
  <c r="C174" i="1"/>
  <c r="H174" i="1"/>
  <c r="M174" i="1"/>
  <c r="B175" i="1"/>
  <c r="G175" i="1"/>
  <c r="L175" i="1"/>
  <c r="A176" i="1"/>
  <c r="F176" i="1"/>
  <c r="K176" i="1"/>
  <c r="Q176" i="1"/>
  <c r="E177" i="1"/>
  <c r="J177" i="1"/>
  <c r="P177" i="1"/>
  <c r="D178" i="1"/>
  <c r="I178" i="1"/>
  <c r="O178" i="1"/>
  <c r="C179" i="1"/>
  <c r="H179" i="1"/>
  <c r="N179" i="1"/>
  <c r="B180" i="1"/>
  <c r="G180" i="1"/>
  <c r="M180" i="1"/>
  <c r="A181" i="1"/>
  <c r="F181" i="1"/>
  <c r="L181" i="1"/>
  <c r="Q181" i="1"/>
  <c r="E182" i="1"/>
  <c r="K182" i="1"/>
  <c r="P182" i="1"/>
  <c r="D183" i="1"/>
  <c r="J183" i="1"/>
  <c r="O183" i="1"/>
  <c r="C184" i="1"/>
  <c r="I184" i="1"/>
  <c r="N184" i="1"/>
  <c r="B185" i="1"/>
  <c r="H185" i="1"/>
  <c r="M185" i="1"/>
  <c r="A186" i="1"/>
  <c r="G186" i="1"/>
  <c r="L186" i="1"/>
  <c r="Q186" i="1"/>
  <c r="F187" i="1"/>
  <c r="K187" i="1"/>
  <c r="P187" i="1"/>
  <c r="E188" i="1"/>
  <c r="J188" i="1"/>
  <c r="O188" i="1"/>
  <c r="D189" i="1"/>
  <c r="I189" i="1"/>
  <c r="N189" i="1"/>
  <c r="C190" i="1"/>
  <c r="H190" i="1"/>
  <c r="M190" i="1"/>
  <c r="B191" i="1"/>
  <c r="G191" i="1"/>
  <c r="L191" i="1"/>
  <c r="A192" i="1"/>
  <c r="F192" i="1"/>
  <c r="E172" i="1"/>
  <c r="P171" i="1"/>
  <c r="K171" i="1"/>
  <c r="F171" i="1"/>
  <c r="Q170" i="1"/>
  <c r="L170" i="1"/>
  <c r="G170" i="1"/>
  <c r="A170" i="1"/>
  <c r="M169" i="1"/>
  <c r="H169" i="1"/>
  <c r="B169" i="1"/>
  <c r="N168" i="1"/>
  <c r="I168" i="1"/>
  <c r="C168" i="1"/>
  <c r="O167" i="1"/>
  <c r="J167" i="1"/>
  <c r="D167" i="1"/>
  <c r="P166" i="1"/>
  <c r="K166" i="1"/>
  <c r="E166" i="1"/>
  <c r="Q165" i="1"/>
  <c r="L165" i="1"/>
  <c r="F165" i="1"/>
  <c r="A165" i="1"/>
  <c r="M164" i="1"/>
  <c r="G164" i="1"/>
  <c r="B164" i="1"/>
  <c r="N163" i="1"/>
  <c r="G163" i="1"/>
  <c r="Q162" i="1"/>
  <c r="I162" i="1"/>
  <c r="C162" i="1"/>
  <c r="M161" i="1"/>
  <c r="E161" i="1"/>
  <c r="O160" i="1"/>
  <c r="I160" i="1"/>
  <c r="A160" i="1"/>
  <c r="K159" i="1"/>
  <c r="D159" i="1"/>
  <c r="M158" i="1"/>
  <c r="G158" i="1"/>
  <c r="Q157" i="1"/>
  <c r="I157" i="1"/>
  <c r="B157" i="1"/>
  <c r="M156" i="1"/>
  <c r="E156" i="1"/>
  <c r="O155" i="1"/>
  <c r="H155" i="1"/>
  <c r="Q154" i="1"/>
  <c r="K154" i="1"/>
  <c r="D154" i="1"/>
  <c r="M153" i="1"/>
  <c r="F153" i="1"/>
  <c r="Q152" i="1"/>
  <c r="I152" i="1"/>
  <c r="B152" i="1"/>
  <c r="L151" i="1"/>
  <c r="D151" i="1"/>
  <c r="O150" i="1"/>
  <c r="H150" i="1"/>
  <c r="Q149" i="1"/>
  <c r="J149" i="1"/>
  <c r="D149" i="1"/>
  <c r="M148" i="1"/>
  <c r="F148" i="1"/>
  <c r="P147" i="1"/>
  <c r="H147" i="1"/>
  <c r="B147" i="1"/>
  <c r="L146" i="1"/>
  <c r="D146" i="1"/>
  <c r="N145" i="1"/>
  <c r="H145" i="1"/>
  <c r="Q144" i="1"/>
  <c r="J144" i="1"/>
  <c r="C144" i="1"/>
  <c r="L143" i="1"/>
  <c r="F143" i="1"/>
  <c r="P142" i="1"/>
  <c r="H142" i="1"/>
  <c r="A142" i="1"/>
  <c r="L141" i="1"/>
  <c r="D141" i="1"/>
  <c r="N140" i="1"/>
  <c r="G140" i="1"/>
  <c r="P139" i="1"/>
  <c r="J139" i="1"/>
  <c r="C139" i="1"/>
  <c r="L138" i="1"/>
  <c r="E138" i="1"/>
  <c r="P137" i="1"/>
  <c r="H137" i="1"/>
  <c r="A137" i="1"/>
  <c r="K136" i="1"/>
  <c r="C136" i="1"/>
  <c r="N135" i="1"/>
  <c r="G135" i="1"/>
  <c r="P134" i="1"/>
  <c r="I134" i="1"/>
  <c r="C134" i="1"/>
  <c r="L133" i="1"/>
  <c r="E133" i="1"/>
  <c r="O132" i="1"/>
  <c r="G132" i="1"/>
  <c r="A132" i="1"/>
  <c r="K131" i="1"/>
  <c r="C131" i="1"/>
  <c r="M130" i="1"/>
  <c r="C130" i="1"/>
  <c r="J129" i="1"/>
  <c r="B129" i="1"/>
  <c r="I128" i="1"/>
  <c r="P127" i="1"/>
  <c r="G127" i="1"/>
  <c r="M126" i="1"/>
  <c r="E126" i="1"/>
  <c r="M125" i="1"/>
  <c r="B125" i="1"/>
  <c r="J124" i="1"/>
  <c r="B124" i="1"/>
  <c r="H123" i="1"/>
  <c r="P122" i="1"/>
  <c r="G122" i="1"/>
  <c r="M121" i="1"/>
  <c r="E121" i="1"/>
  <c r="M120" i="1"/>
  <c r="B120" i="1"/>
  <c r="J119" i="1"/>
  <c r="B119" i="1"/>
  <c r="H118" i="1"/>
  <c r="P117" i="1"/>
  <c r="F117" i="1"/>
  <c r="M116" i="1"/>
  <c r="E116" i="1"/>
  <c r="L115" i="1"/>
  <c r="B115" i="1"/>
  <c r="I114" i="1"/>
  <c r="A114" i="1"/>
  <c r="H113" i="1"/>
  <c r="N112" i="1"/>
  <c r="O111" i="1"/>
  <c r="K110" i="1"/>
  <c r="H109" i="1"/>
  <c r="I108" i="1"/>
  <c r="D107" i="1"/>
  <c r="A106" i="1"/>
  <c r="B105" i="1"/>
  <c r="O103" i="1"/>
  <c r="M102" i="1"/>
  <c r="N101" i="1"/>
  <c r="J100" i="1"/>
  <c r="G99" i="1"/>
  <c r="H98" i="1"/>
  <c r="D97" i="1"/>
  <c r="K95" i="1"/>
  <c r="P93" i="1"/>
  <c r="M91" i="1"/>
  <c r="M89" i="1"/>
  <c r="E87" i="1"/>
  <c r="N82" i="1"/>
  <c r="J78" i="1"/>
  <c r="G75" i="1"/>
  <c r="P70" i="1"/>
  <c r="K66" i="1"/>
  <c r="I63" i="1"/>
  <c r="B59" i="1"/>
  <c r="L54" i="1"/>
  <c r="E51" i="1"/>
  <c r="M43" i="1"/>
  <c r="F29" i="1"/>
  <c r="B16" i="1"/>
  <c r="K2" i="1"/>
  <c r="I5" i="1"/>
  <c r="M12" i="1"/>
  <c r="J19" i="1"/>
  <c r="C25" i="1"/>
  <c r="M30" i="1"/>
  <c r="B36" i="1"/>
  <c r="C41" i="1"/>
  <c r="H46" i="1"/>
  <c r="E48" i="1"/>
  <c r="F50" i="1"/>
  <c r="H52" i="1"/>
  <c r="M53" i="1"/>
  <c r="F55" i="1"/>
  <c r="N56" i="1"/>
  <c r="F58" i="1"/>
  <c r="M59" i="1"/>
  <c r="E61" i="1"/>
  <c r="L62" i="1"/>
  <c r="E64" i="1"/>
  <c r="O65" i="1"/>
  <c r="C67" i="1"/>
  <c r="M68" i="1"/>
  <c r="D70" i="1"/>
  <c r="K71" i="1"/>
  <c r="C73" i="1"/>
  <c r="L74" i="1"/>
  <c r="A76" i="1"/>
  <c r="K77" i="1"/>
  <c r="C79" i="1"/>
  <c r="J80" i="1"/>
  <c r="C82" i="1"/>
  <c r="J83" i="1"/>
  <c r="A85" i="1"/>
  <c r="J86" i="1"/>
  <c r="B88" i="1"/>
  <c r="D89" i="1"/>
  <c r="O89" i="1"/>
  <c r="K90" i="1"/>
  <c r="G91" i="1"/>
  <c r="D92" i="1"/>
  <c r="N92" i="1"/>
  <c r="K93" i="1"/>
  <c r="G94" i="1"/>
  <c r="B95" i="1"/>
  <c r="Q95" i="1"/>
  <c r="I96" i="1"/>
  <c r="Q96" i="1"/>
  <c r="H97" i="1"/>
  <c r="N97" i="1"/>
  <c r="D98" i="1"/>
  <c r="L98" i="1"/>
  <c r="B99" i="1"/>
  <c r="H99" i="1"/>
  <c r="P99" i="1"/>
  <c r="F100" i="1"/>
  <c r="M100" i="1"/>
  <c r="D101" i="1"/>
  <c r="J101" i="1"/>
  <c r="Q101" i="1"/>
  <c r="H102" i="1"/>
  <c r="O102" i="1"/>
  <c r="D103" i="1"/>
  <c r="L103" i="1"/>
  <c r="B104" i="1"/>
  <c r="I104" i="1"/>
  <c r="Q104" i="1"/>
  <c r="F105" i="1"/>
  <c r="M105" i="1"/>
  <c r="D106" i="1"/>
  <c r="K106" i="1"/>
  <c r="Q106" i="1"/>
  <c r="H107" i="1"/>
  <c r="O107" i="1"/>
  <c r="E108" i="1"/>
  <c r="M108" i="1"/>
  <c r="B109" i="1"/>
  <c r="I109" i="1"/>
  <c r="Q109" i="1"/>
  <c r="G110" i="1"/>
  <c r="M110" i="1"/>
  <c r="D111" i="1"/>
  <c r="K111" i="1"/>
  <c r="A112" i="1"/>
  <c r="I112" i="1"/>
  <c r="O112" i="1"/>
  <c r="K7" i="1"/>
  <c r="H14" i="1"/>
  <c r="C21" i="1"/>
  <c r="L26" i="1"/>
  <c r="O31" i="1"/>
  <c r="B37" i="1"/>
  <c r="M42" i="1"/>
  <c r="J46" i="1"/>
  <c r="L48" i="1"/>
  <c r="H50" i="1"/>
  <c r="I52" i="1"/>
  <c r="B54" i="1"/>
  <c r="I55" i="1"/>
  <c r="A57" i="1"/>
  <c r="H58" i="1"/>
  <c r="Q59" i="1"/>
  <c r="H61" i="1"/>
  <c r="A63" i="1"/>
  <c r="F64" i="1"/>
  <c r="P65" i="1"/>
  <c r="I67" i="1"/>
  <c r="N68" i="1"/>
  <c r="G70" i="1"/>
  <c r="O71" i="1"/>
  <c r="G73" i="1"/>
  <c r="N74" i="1"/>
  <c r="F76" i="1"/>
  <c r="M77" i="1"/>
  <c r="F79" i="1"/>
  <c r="P80" i="1"/>
  <c r="D82" i="1"/>
  <c r="N83" i="1"/>
  <c r="E85" i="1"/>
  <c r="L86" i="1"/>
  <c r="D88" i="1"/>
  <c r="G89" i="1"/>
  <c r="B90" i="1"/>
  <c r="P90" i="1"/>
  <c r="J91" i="1"/>
  <c r="E92" i="1"/>
  <c r="C93" i="1"/>
  <c r="O93" i="1"/>
  <c r="H94" i="1"/>
  <c r="F95" i="1"/>
  <c r="A96" i="1"/>
  <c r="K96" i="1"/>
  <c r="B97" i="1"/>
  <c r="I97" i="1"/>
  <c r="P97" i="1"/>
  <c r="G98" i="1"/>
  <c r="M98" i="1"/>
  <c r="C99" i="1"/>
  <c r="K99" i="1"/>
  <c r="A100" i="1"/>
  <c r="G100" i="1"/>
  <c r="O100" i="1"/>
  <c r="E101" i="1"/>
  <c r="L101" i="1"/>
  <c r="C102" i="1"/>
  <c r="I102" i="1"/>
  <c r="P102" i="1"/>
  <c r="G103" i="1"/>
  <c r="N103" i="1"/>
  <c r="C104" i="1"/>
  <c r="K104" i="1"/>
  <c r="A105" i="1"/>
  <c r="H105" i="1"/>
  <c r="P105" i="1"/>
  <c r="E106" i="1"/>
  <c r="L106" i="1"/>
  <c r="C107" i="1"/>
  <c r="J107" i="1"/>
  <c r="P107" i="1"/>
  <c r="G108" i="1"/>
  <c r="N108" i="1"/>
  <c r="D109" i="1"/>
  <c r="L109" i="1"/>
  <c r="A110" i="1"/>
  <c r="H110" i="1"/>
  <c r="P110" i="1"/>
  <c r="F111" i="1"/>
  <c r="L111" i="1"/>
  <c r="C112" i="1"/>
  <c r="J112" i="1"/>
  <c r="L10" i="1"/>
  <c r="Q23" i="1"/>
  <c r="J34" i="1"/>
  <c r="A45" i="1"/>
  <c r="K49" i="1"/>
  <c r="E53" i="1"/>
  <c r="E56" i="1"/>
  <c r="E59" i="1"/>
  <c r="C62" i="1"/>
  <c r="D65" i="1"/>
  <c r="B68" i="1"/>
  <c r="A71" i="1"/>
  <c r="C74" i="1"/>
  <c r="C77" i="1"/>
  <c r="A80" i="1"/>
  <c r="B83" i="1"/>
  <c r="Q85" i="1"/>
  <c r="P88" i="1"/>
  <c r="H90" i="1"/>
  <c r="Q91" i="1"/>
  <c r="H93" i="1"/>
  <c r="O94" i="1"/>
  <c r="G96" i="1"/>
  <c r="E97" i="1"/>
  <c r="C98" i="1"/>
  <c r="Q98" i="1"/>
  <c r="N99" i="1"/>
  <c r="K100" i="1"/>
  <c r="I101" i="1"/>
  <c r="E102" i="1"/>
  <c r="C103" i="1"/>
  <c r="A104" i="1"/>
  <c r="N104" i="1"/>
  <c r="L105" i="1"/>
  <c r="I106" i="1"/>
  <c r="F107" i="1"/>
  <c r="C108" i="1"/>
  <c r="A109" i="1"/>
  <c r="N109" i="1"/>
  <c r="L110" i="1"/>
  <c r="J111" i="1"/>
  <c r="F112" i="1"/>
  <c r="B113" i="1"/>
  <c r="I113" i="1"/>
  <c r="P113" i="1"/>
  <c r="G114" i="1"/>
  <c r="M114" i="1"/>
  <c r="C115" i="1"/>
  <c r="K115" i="1"/>
  <c r="A116" i="1"/>
  <c r="G116" i="1"/>
  <c r="O116" i="1"/>
  <c r="E117" i="1"/>
  <c r="L117" i="1"/>
  <c r="C118" i="1"/>
  <c r="I118" i="1"/>
  <c r="P118" i="1"/>
  <c r="G119" i="1"/>
  <c r="N119" i="1"/>
  <c r="C120" i="1"/>
  <c r="K120" i="1"/>
  <c r="A121" i="1"/>
  <c r="H121" i="1"/>
  <c r="P121" i="1"/>
  <c r="E122" i="1"/>
  <c r="L122" i="1"/>
  <c r="C123" i="1"/>
  <c r="J123" i="1"/>
  <c r="P123" i="1"/>
  <c r="G124" i="1"/>
  <c r="N124" i="1"/>
  <c r="D125" i="1"/>
  <c r="L125" i="1"/>
  <c r="A126" i="1"/>
  <c r="H126" i="1"/>
  <c r="P126" i="1"/>
  <c r="F127" i="1"/>
  <c r="L127" i="1"/>
  <c r="C128" i="1"/>
  <c r="J128" i="1"/>
  <c r="Q128" i="1"/>
  <c r="H129" i="1"/>
  <c r="N129" i="1"/>
  <c r="D130" i="1"/>
  <c r="L130" i="1"/>
  <c r="J88" i="1"/>
  <c r="N87" i="1"/>
  <c r="C87" i="1"/>
  <c r="G86" i="1"/>
  <c r="K85" i="1"/>
  <c r="N84" i="1"/>
  <c r="D84" i="1"/>
  <c r="G83" i="1"/>
  <c r="K82" i="1"/>
  <c r="P81" i="1"/>
  <c r="A81" i="1"/>
  <c r="H80" i="1"/>
  <c r="M79" i="1"/>
  <c r="O78" i="1"/>
  <c r="C78" i="1"/>
  <c r="I77" i="1"/>
  <c r="L76" i="1"/>
  <c r="Q75" i="1"/>
  <c r="E75" i="1"/>
  <c r="G74" i="1"/>
  <c r="M73" i="1"/>
  <c r="A73" i="1"/>
  <c r="D72" i="1"/>
  <c r="I71" i="1"/>
  <c r="O70" i="1"/>
  <c r="Q69" i="1"/>
  <c r="E69" i="1"/>
  <c r="I68" i="1"/>
  <c r="M67" i="1"/>
  <c r="B67" i="1"/>
  <c r="F66" i="1"/>
  <c r="I65" i="1"/>
  <c r="M64" i="1"/>
  <c r="B64" i="1"/>
  <c r="F63" i="1"/>
  <c r="J62" i="1"/>
  <c r="O61" i="1"/>
  <c r="Q60" i="1"/>
  <c r="F60" i="1"/>
  <c r="K59" i="1"/>
  <c r="N58" i="1"/>
  <c r="B58" i="1"/>
  <c r="H57" i="1"/>
  <c r="J56" i="1"/>
  <c r="O55" i="1"/>
  <c r="C55" i="1"/>
  <c r="F54" i="1"/>
  <c r="L53" i="1"/>
  <c r="Q52" i="1"/>
  <c r="A52" i="1"/>
  <c r="B51" i="1"/>
  <c r="D50" i="1"/>
  <c r="A49" i="1"/>
  <c r="B48" i="1"/>
  <c r="B47" i="1"/>
  <c r="B46" i="1"/>
  <c r="P44" i="1"/>
  <c r="K43" i="1"/>
  <c r="B42" i="1"/>
  <c r="N40" i="1"/>
  <c r="K39" i="1"/>
  <c r="E38" i="1"/>
  <c r="O36" i="1"/>
  <c r="K35" i="1"/>
  <c r="A34" i="1"/>
  <c r="P32" i="1"/>
  <c r="L31" i="1"/>
  <c r="D30" i="1"/>
  <c r="P28" i="1"/>
  <c r="M27" i="1"/>
  <c r="D26" i="1"/>
  <c r="P24" i="1"/>
  <c r="L23" i="1"/>
  <c r="E22" i="1"/>
  <c r="B21" i="1"/>
  <c r="H19" i="1"/>
  <c r="F17" i="1"/>
  <c r="L15" i="1"/>
  <c r="E14" i="1"/>
  <c r="E12" i="1"/>
  <c r="I10" i="1"/>
  <c r="K8" i="1"/>
  <c r="M6" i="1"/>
  <c r="F5" i="1"/>
  <c r="O2" i="1"/>
  <c r="H88" i="1"/>
  <c r="K87" i="1"/>
  <c r="P86" i="1"/>
  <c r="B86" i="1"/>
  <c r="H85" i="1"/>
  <c r="M84" i="1"/>
  <c r="O83" i="1"/>
  <c r="C83" i="1"/>
  <c r="J82" i="1"/>
  <c r="L81" i="1"/>
  <c r="Q80" i="1"/>
  <c r="E80" i="1"/>
  <c r="G79" i="1"/>
  <c r="N78" i="1"/>
  <c r="B78" i="1"/>
  <c r="D77" i="1"/>
  <c r="I76" i="1"/>
  <c r="O75" i="1"/>
  <c r="A75" i="1"/>
  <c r="F74" i="1"/>
  <c r="I73" i="1"/>
  <c r="M72" i="1"/>
  <c r="B72" i="1"/>
  <c r="F71" i="1"/>
  <c r="J70" i="1"/>
  <c r="M69" i="1"/>
  <c r="C69" i="1"/>
  <c r="F68" i="1"/>
  <c r="J67" i="1"/>
  <c r="O66" i="1"/>
  <c r="Q65" i="1"/>
  <c r="G65" i="1"/>
  <c r="L64" i="1"/>
  <c r="N63" i="1"/>
  <c r="B63" i="1"/>
  <c r="H62" i="1"/>
  <c r="K61" i="1"/>
  <c r="P60" i="1"/>
  <c r="D60" i="1"/>
  <c r="F59" i="1"/>
  <c r="L58" i="1"/>
  <c r="Q57" i="1"/>
  <c r="C57" i="1"/>
  <c r="H56" i="1"/>
  <c r="N55" i="1"/>
  <c r="P54" i="1"/>
  <c r="D54" i="1"/>
  <c r="H53" i="1"/>
  <c r="L52" i="1"/>
  <c r="O51" i="1"/>
  <c r="O50" i="1"/>
  <c r="O49" i="1"/>
  <c r="M48" i="1"/>
  <c r="Q47" i="1"/>
  <c r="O46" i="1"/>
  <c r="N45" i="1"/>
  <c r="J44" i="1"/>
  <c r="Q42" i="1"/>
  <c r="O41" i="1"/>
  <c r="K40" i="1"/>
  <c r="A39" i="1"/>
  <c r="N37" i="1"/>
  <c r="L36" i="1"/>
  <c r="D35" i="1"/>
  <c r="Q33" i="1"/>
  <c r="L32" i="1"/>
  <c r="C31" i="1"/>
  <c r="Q29" i="1"/>
  <c r="L28" i="1"/>
  <c r="E27" i="1"/>
  <c r="A26" i="1"/>
  <c r="O24" i="1"/>
  <c r="E23" i="1"/>
  <c r="A22" i="1"/>
  <c r="J20" i="1"/>
  <c r="L18" i="1"/>
  <c r="E17" i="1"/>
  <c r="G15" i="1"/>
  <c r="I13" i="1"/>
  <c r="K11" i="1"/>
  <c r="C10" i="1"/>
  <c r="E8" i="1"/>
  <c r="H6" i="1"/>
  <c r="N4" i="1"/>
  <c r="M1" i="1"/>
  <c r="K45" i="1"/>
  <c r="B44" i="1"/>
  <c r="N42" i="1"/>
  <c r="J41" i="1"/>
  <c r="Q39" i="1"/>
  <c r="Q38" i="1"/>
  <c r="M37" i="1"/>
  <c r="C36" i="1"/>
  <c r="P34" i="1"/>
  <c r="M33" i="1"/>
  <c r="F32" i="1"/>
  <c r="A31" i="1"/>
  <c r="J29" i="1"/>
  <c r="D28" i="1"/>
  <c r="A27" i="1"/>
  <c r="M25" i="1"/>
  <c r="F24" i="1"/>
  <c r="P22" i="1"/>
  <c r="N21" i="1"/>
  <c r="C20" i="1"/>
  <c r="E18" i="1"/>
  <c r="K16" i="1"/>
  <c r="I14" i="1"/>
  <c r="D13" i="1"/>
  <c r="H11" i="1"/>
  <c r="H9" i="1"/>
  <c r="L7" i="1"/>
  <c r="C6" i="1"/>
  <c r="P3" i="1"/>
  <c r="H1" i="1"/>
  <c r="J163" i="1"/>
  <c r="D163" i="1"/>
  <c r="P162" i="1"/>
  <c r="K162" i="1"/>
  <c r="E162" i="1"/>
  <c r="Q161" i="1"/>
  <c r="L161" i="1"/>
  <c r="F161" i="1"/>
  <c r="A161" i="1"/>
  <c r="M160" i="1"/>
  <c r="G160" i="1"/>
  <c r="B160" i="1"/>
  <c r="N159" i="1"/>
  <c r="H159" i="1"/>
  <c r="C159" i="1"/>
  <c r="O158" i="1"/>
  <c r="I158" i="1"/>
  <c r="D158" i="1"/>
  <c r="P157" i="1"/>
  <c r="J157" i="1"/>
  <c r="E157" i="1"/>
  <c r="Q156" i="1"/>
  <c r="K156" i="1"/>
  <c r="F156" i="1"/>
  <c r="A156" i="1"/>
  <c r="L155" i="1"/>
  <c r="G155" i="1"/>
  <c r="B155" i="1"/>
  <c r="M154" i="1"/>
  <c r="H154" i="1"/>
  <c r="C154" i="1"/>
  <c r="N153" i="1"/>
  <c r="I153" i="1"/>
  <c r="D153" i="1"/>
  <c r="O152" i="1"/>
  <c r="J152" i="1"/>
  <c r="E152" i="1"/>
  <c r="P151" i="1"/>
  <c r="K151" i="1"/>
  <c r="F151" i="1"/>
  <c r="Q150" i="1"/>
  <c r="L150" i="1"/>
  <c r="G150" i="1"/>
  <c r="A150" i="1"/>
  <c r="M149" i="1"/>
  <c r="H149" i="1"/>
  <c r="B149" i="1"/>
  <c r="N148" i="1"/>
  <c r="I148" i="1"/>
  <c r="C148" i="1"/>
  <c r="O147" i="1"/>
  <c r="J147" i="1"/>
  <c r="D147" i="1"/>
  <c r="P146" i="1"/>
  <c r="K146" i="1"/>
  <c r="E146" i="1"/>
  <c r="Q145" i="1"/>
  <c r="L145" i="1"/>
  <c r="F145" i="1"/>
  <c r="A145" i="1"/>
  <c r="M144" i="1"/>
  <c r="G144" i="1"/>
  <c r="B144" i="1"/>
  <c r="N143" i="1"/>
  <c r="H143" i="1"/>
  <c r="C143" i="1"/>
  <c r="O142" i="1"/>
  <c r="I142" i="1"/>
  <c r="D142" i="1"/>
  <c r="P141" i="1"/>
  <c r="J141" i="1"/>
  <c r="E141" i="1"/>
  <c r="Q140" i="1"/>
  <c r="K140" i="1"/>
  <c r="F140" i="1"/>
  <c r="A140" i="1"/>
  <c r="L139" i="1"/>
  <c r="G139" i="1"/>
  <c r="B139" i="1"/>
  <c r="M138" i="1"/>
  <c r="H138" i="1"/>
  <c r="C138" i="1"/>
  <c r="N137" i="1"/>
  <c r="I137" i="1"/>
  <c r="D137" i="1"/>
  <c r="O136" i="1"/>
  <c r="J136" i="1"/>
  <c r="E136" i="1"/>
  <c r="P135" i="1"/>
  <c r="K135" i="1"/>
  <c r="F135" i="1"/>
  <c r="Q134" i="1"/>
  <c r="L134" i="1"/>
  <c r="G134" i="1"/>
  <c r="A134" i="1"/>
  <c r="M133" i="1"/>
  <c r="H133" i="1"/>
  <c r="B133" i="1"/>
  <c r="N132" i="1"/>
  <c r="I132" i="1"/>
  <c r="C132" i="1"/>
  <c r="O131" i="1"/>
  <c r="J131" i="1"/>
  <c r="D131" i="1"/>
  <c r="P130" i="1"/>
  <c r="K130" i="1"/>
  <c r="E130" i="1"/>
  <c r="Q129" i="1"/>
  <c r="L129" i="1"/>
  <c r="F129" i="1"/>
  <c r="A129" i="1"/>
  <c r="M128" i="1"/>
  <c r="G128" i="1"/>
  <c r="B128" i="1"/>
  <c r="N127" i="1"/>
  <c r="H127" i="1"/>
  <c r="C127" i="1"/>
  <c r="O126" i="1"/>
  <c r="I126" i="1"/>
  <c r="D126" i="1"/>
  <c r="P125" i="1"/>
  <c r="J125" i="1"/>
  <c r="E125" i="1"/>
  <c r="Q124" i="1"/>
  <c r="K124" i="1"/>
  <c r="F124" i="1"/>
  <c r="A124" i="1"/>
  <c r="L123" i="1"/>
  <c r="G123" i="1"/>
  <c r="B123" i="1"/>
  <c r="M122" i="1"/>
  <c r="H122" i="1"/>
  <c r="C122" i="1"/>
  <c r="N121" i="1"/>
  <c r="I121" i="1"/>
  <c r="D121" i="1"/>
  <c r="O120" i="1"/>
  <c r="J120" i="1"/>
  <c r="E120" i="1"/>
  <c r="P119" i="1"/>
  <c r="K119" i="1"/>
  <c r="F119" i="1"/>
  <c r="Q118" i="1"/>
  <c r="L118" i="1"/>
  <c r="G118" i="1"/>
  <c r="A118" i="1"/>
  <c r="M117" i="1"/>
  <c r="H117" i="1"/>
  <c r="B117" i="1"/>
  <c r="N116" i="1"/>
  <c r="I116" i="1"/>
  <c r="C116" i="1"/>
  <c r="O115" i="1"/>
  <c r="J115" i="1"/>
  <c r="D115" i="1"/>
  <c r="P114" i="1"/>
  <c r="K114" i="1"/>
  <c r="E114" i="1"/>
  <c r="Q113" i="1"/>
  <c r="L113" i="1"/>
  <c r="F113" i="1"/>
  <c r="A113" i="1"/>
  <c r="M112" i="1"/>
  <c r="G112" i="1"/>
  <c r="B112" i="1"/>
  <c r="N111" i="1"/>
  <c r="H111" i="1"/>
  <c r="C111" i="1"/>
  <c r="O110" i="1"/>
  <c r="I110" i="1"/>
  <c r="D110" i="1"/>
  <c r="P109" i="1"/>
  <c r="J109" i="1"/>
  <c r="E109" i="1"/>
  <c r="Q108" i="1"/>
  <c r="K108" i="1"/>
  <c r="F108" i="1"/>
  <c r="A108" i="1"/>
  <c r="L107" i="1"/>
  <c r="G107" i="1"/>
  <c r="B107" i="1"/>
  <c r="M106" i="1"/>
  <c r="H106" i="1"/>
  <c r="C106" i="1"/>
  <c r="N105" i="1"/>
  <c r="I105" i="1"/>
  <c r="D105" i="1"/>
  <c r="O104" i="1"/>
  <c r="J104" i="1"/>
  <c r="E104" i="1"/>
  <c r="P103" i="1"/>
  <c r="K103" i="1"/>
  <c r="F103" i="1"/>
  <c r="Q102" i="1"/>
  <c r="L102" i="1"/>
  <c r="G102" i="1"/>
  <c r="A102" i="1"/>
  <c r="M101" i="1"/>
  <c r="H101" i="1"/>
  <c r="B101" i="1"/>
  <c r="N100" i="1"/>
  <c r="I100" i="1"/>
  <c r="C100" i="1"/>
  <c r="O99" i="1"/>
  <c r="J99" i="1"/>
  <c r="D99" i="1"/>
  <c r="P98" i="1"/>
  <c r="K98" i="1"/>
  <c r="E98" i="1"/>
  <c r="Q97" i="1"/>
  <c r="L97" i="1"/>
  <c r="F97" i="1"/>
  <c r="A97" i="1"/>
  <c r="M96" i="1"/>
  <c r="F96" i="1"/>
  <c r="M95" i="1"/>
  <c r="C95" i="1"/>
  <c r="L94" i="1"/>
  <c r="B94" i="1"/>
  <c r="I93" i="1"/>
  <c r="Q92" i="1"/>
  <c r="F92" i="1"/>
  <c r="O91" i="1"/>
  <c r="F91" i="1"/>
  <c r="L90" i="1"/>
  <c r="C90" i="1"/>
  <c r="L89" i="1"/>
  <c r="A89" i="1"/>
  <c r="I88" i="1"/>
  <c r="Q87" i="1"/>
  <c r="F87" i="1"/>
  <c r="O86" i="1"/>
  <c r="F86" i="1"/>
  <c r="L85" i="1"/>
  <c r="C85" i="1"/>
  <c r="L84" i="1"/>
  <c r="A84" i="1"/>
  <c r="I83" i="1"/>
  <c r="P82" i="1"/>
  <c r="F82" i="1"/>
  <c r="O81" i="1"/>
  <c r="E81" i="1"/>
  <c r="L80" i="1"/>
  <c r="B80" i="1"/>
  <c r="K79" i="1"/>
  <c r="A79" i="1"/>
  <c r="H78" i="1"/>
  <c r="P77" i="1"/>
  <c r="E77" i="1"/>
  <c r="N76" i="1"/>
  <c r="E76" i="1"/>
  <c r="K75" i="1"/>
  <c r="B75" i="1"/>
  <c r="K74" i="1"/>
  <c r="Q73" i="1"/>
  <c r="H73" i="1"/>
  <c r="P72" i="1"/>
  <c r="E72" i="1"/>
  <c r="N71" i="1"/>
  <c r="E71" i="1"/>
  <c r="K70" i="1"/>
  <c r="B70" i="1"/>
  <c r="K69" i="1"/>
  <c r="Q68" i="1"/>
  <c r="H68" i="1"/>
  <c r="O67" i="1"/>
  <c r="E67" i="1"/>
  <c r="N66" i="1"/>
  <c r="D66" i="1"/>
  <c r="K65" i="1"/>
  <c r="A65" i="1"/>
  <c r="J64" i="1"/>
  <c r="Q63" i="1"/>
  <c r="G63" i="1"/>
  <c r="O62" i="1"/>
  <c r="D62" i="1"/>
  <c r="M61" i="1"/>
  <c r="D61" i="1"/>
  <c r="J60" i="1"/>
  <c r="A60" i="1"/>
  <c r="J59" i="1"/>
  <c r="P58" i="1"/>
  <c r="G58" i="1"/>
  <c r="O57" i="1"/>
  <c r="D57" i="1"/>
  <c r="M56" i="1"/>
  <c r="D56" i="1"/>
  <c r="J55" i="1"/>
  <c r="A55" i="1"/>
  <c r="J54" i="1"/>
  <c r="P53" i="1"/>
  <c r="G53" i="1"/>
  <c r="N52" i="1"/>
  <c r="B52" i="1"/>
  <c r="I51" i="1"/>
  <c r="N50" i="1"/>
  <c r="P49" i="1"/>
  <c r="D49" i="1"/>
  <c r="J48" i="1"/>
  <c r="M47" i="1"/>
  <c r="A47" i="1"/>
  <c r="D46" i="1"/>
  <c r="E45" i="1"/>
  <c r="G44" i="1"/>
  <c r="G43" i="1"/>
  <c r="F42" i="1"/>
  <c r="E41" i="1"/>
  <c r="H40" i="1"/>
  <c r="G39" i="1"/>
  <c r="F38" i="1"/>
  <c r="G37" i="1"/>
  <c r="D36" i="1"/>
  <c r="H35" i="1"/>
  <c r="I34" i="1"/>
  <c r="F33" i="1"/>
  <c r="G32" i="1"/>
  <c r="I31" i="1"/>
  <c r="H30" i="1"/>
  <c r="I29" i="1"/>
  <c r="J28" i="1"/>
  <c r="G27" i="1"/>
  <c r="I26" i="1"/>
  <c r="J25" i="1"/>
  <c r="H24" i="1"/>
  <c r="I23" i="1"/>
  <c r="L22" i="1"/>
  <c r="I21" i="1"/>
  <c r="G20" i="1"/>
  <c r="Q18" i="1"/>
  <c r="L17" i="1"/>
  <c r="I16" i="1"/>
  <c r="C15" i="1"/>
  <c r="L13" i="1"/>
  <c r="F12" i="1"/>
  <c r="C11" i="1"/>
  <c r="N9" i="1"/>
  <c r="I8" i="1"/>
  <c r="D7" i="1"/>
  <c r="L5" i="1"/>
  <c r="I4" i="1"/>
  <c r="A1" i="1"/>
  <c r="Q1" i="1"/>
  <c r="C3" i="1"/>
  <c r="E4" i="1"/>
  <c r="B5" i="1"/>
  <c r="Q5" i="1"/>
  <c r="K6" i="1"/>
  <c r="F7" i="1"/>
  <c r="C8" i="1"/>
  <c r="O8" i="1"/>
  <c r="I9" i="1"/>
  <c r="G10" i="1"/>
  <c r="B11" i="1"/>
  <c r="N11" i="1"/>
  <c r="K12" i="1"/>
  <c r="E13" i="1"/>
  <c r="Q13" i="1"/>
  <c r="O14" i="1"/>
  <c r="J15" i="1"/>
  <c r="C16" i="1"/>
  <c r="A17" i="1"/>
  <c r="M17" i="1"/>
  <c r="I18" i="1"/>
  <c r="F19" i="1"/>
  <c r="P19" i="1"/>
  <c r="M20" i="1"/>
  <c r="G21" i="1"/>
  <c r="Q21" i="1"/>
  <c r="H22" i="1"/>
  <c r="A23" i="1"/>
  <c r="K23" i="1"/>
  <c r="C24" i="1"/>
  <c r="N24" i="1"/>
  <c r="E25" i="1"/>
  <c r="N25" i="1"/>
  <c r="H26" i="1"/>
  <c r="Q26" i="1"/>
  <c r="H27" i="1"/>
  <c r="B28" i="1"/>
  <c r="K28" i="1"/>
  <c r="C29" i="1"/>
  <c r="N29" i="1"/>
  <c r="E30" i="1"/>
  <c r="N30" i="1"/>
  <c r="H31" i="1"/>
  <c r="Q31" i="1"/>
  <c r="H32" i="1"/>
  <c r="B33" i="1"/>
  <c r="K33" i="1"/>
  <c r="D34" i="1"/>
  <c r="N34" i="1"/>
  <c r="E35" i="1"/>
  <c r="O35" i="1"/>
  <c r="H36" i="1"/>
  <c r="A37" i="1"/>
  <c r="I37" i="1"/>
  <c r="B38" i="1"/>
  <c r="L38" i="1"/>
  <c r="D39" i="1"/>
  <c r="O39" i="1"/>
  <c r="F40" i="1"/>
  <c r="O40" i="1"/>
  <c r="I41" i="1"/>
  <c r="A42" i="1"/>
  <c r="I42" i="1"/>
  <c r="C43" i="1"/>
  <c r="L43" i="1"/>
  <c r="D44" i="1"/>
  <c r="O44" i="1"/>
  <c r="F45" i="1"/>
  <c r="O45" i="1"/>
  <c r="G46" i="1"/>
  <c r="N46" i="1"/>
  <c r="C47" i="1"/>
  <c r="K47" i="1"/>
  <c r="A48" i="1"/>
  <c r="H48" i="1"/>
  <c r="P48" i="1"/>
  <c r="E49" i="1"/>
  <c r="L49" i="1"/>
  <c r="C50" i="1"/>
  <c r="J50" i="1"/>
  <c r="P50" i="1"/>
  <c r="G51" i="1"/>
  <c r="N51" i="1"/>
  <c r="D52" i="1"/>
  <c r="E2" i="1"/>
  <c r="K3" i="1"/>
  <c r="O4" i="1"/>
  <c r="A6" i="1"/>
  <c r="Q6" i="1"/>
  <c r="O7" i="1"/>
  <c r="Q8" i="1"/>
  <c r="P9" i="1"/>
  <c r="Q10" i="1"/>
  <c r="A12" i="1"/>
  <c r="O12" i="1"/>
  <c r="P13" i="1"/>
  <c r="P14" i="1"/>
  <c r="A16" i="1"/>
  <c r="N16" i="1"/>
  <c r="P17" i="1"/>
  <c r="P18" i="1"/>
  <c r="O19" i="1"/>
  <c r="A21" i="1"/>
  <c r="K21" i="1"/>
  <c r="F22" i="1"/>
  <c r="D23" i="1"/>
  <c r="P23" i="1"/>
  <c r="J24" i="1"/>
  <c r="G25" i="1"/>
  <c r="B26" i="1"/>
  <c r="N26" i="1"/>
  <c r="L27" i="1"/>
  <c r="F28" i="1"/>
  <c r="A29" i="1"/>
  <c r="O29" i="1"/>
  <c r="J30" i="1"/>
  <c r="D31" i="1"/>
  <c r="B32" i="1"/>
  <c r="N32" i="1"/>
  <c r="J33" i="1"/>
  <c r="F34" i="1"/>
  <c r="Q34" i="1"/>
  <c r="M35" i="1"/>
  <c r="J36" i="1"/>
  <c r="F37" i="1"/>
  <c r="Q37" i="1"/>
  <c r="M38" i="1"/>
  <c r="I39" i="1"/>
  <c r="D40" i="1"/>
  <c r="B41" i="1"/>
  <c r="M41" i="1"/>
  <c r="H42" i="1"/>
  <c r="E43" i="1"/>
  <c r="Q43" i="1"/>
  <c r="K44" i="1"/>
  <c r="I45" i="1"/>
  <c r="C46" i="1"/>
  <c r="L46" i="1"/>
  <c r="F47" i="1"/>
  <c r="N47" i="1"/>
  <c r="F48" i="1"/>
  <c r="Q48" i="1"/>
  <c r="I49" i="1"/>
  <c r="Q49" i="1"/>
  <c r="K50" i="1"/>
  <c r="C51" i="1"/>
  <c r="M51" i="1"/>
  <c r="F52" i="1"/>
  <c r="M52" i="1"/>
  <c r="C53" i="1"/>
  <c r="K53" i="1"/>
  <c r="Q53" i="1"/>
  <c r="G54" i="1"/>
  <c r="O54" i="1"/>
  <c r="E55" i="1"/>
  <c r="K55" i="1"/>
  <c r="B56" i="1"/>
  <c r="I56" i="1"/>
  <c r="P56" i="1"/>
  <c r="G57" i="1"/>
  <c r="M57" i="1"/>
  <c r="C58" i="1"/>
  <c r="K58" i="1"/>
  <c r="A59" i="1"/>
  <c r="G59" i="1"/>
  <c r="O59" i="1"/>
  <c r="E60" i="1"/>
  <c r="L60" i="1"/>
  <c r="C61" i="1"/>
  <c r="I61" i="1"/>
  <c r="P61" i="1"/>
  <c r="G62" i="1"/>
  <c r="N62" i="1"/>
  <c r="C63" i="1"/>
  <c r="K63" i="1"/>
  <c r="A64" i="1"/>
  <c r="H64" i="1"/>
  <c r="P64" i="1"/>
  <c r="E65" i="1"/>
  <c r="L65" i="1"/>
  <c r="C66" i="1"/>
  <c r="J66" i="1"/>
  <c r="P66" i="1"/>
  <c r="G67" i="1"/>
  <c r="N67" i="1"/>
  <c r="D68" i="1"/>
  <c r="L68" i="1"/>
  <c r="A69" i="1"/>
  <c r="H69" i="1"/>
  <c r="P69" i="1"/>
  <c r="F70" i="1"/>
  <c r="L70" i="1"/>
  <c r="C71" i="1"/>
  <c r="J71" i="1"/>
  <c r="Q71" i="1"/>
  <c r="H72" i="1"/>
  <c r="N72" i="1"/>
  <c r="D73" i="1"/>
  <c r="L73" i="1"/>
  <c r="B74" i="1"/>
  <c r="H74" i="1"/>
  <c r="P74" i="1"/>
  <c r="F75" i="1"/>
  <c r="M75" i="1"/>
  <c r="D76" i="1"/>
  <c r="J76" i="1"/>
  <c r="Q76" i="1"/>
  <c r="H77" i="1"/>
  <c r="O77" i="1"/>
  <c r="D78" i="1"/>
  <c r="L78" i="1"/>
  <c r="B79" i="1"/>
  <c r="I79" i="1"/>
  <c r="Q79" i="1"/>
  <c r="F80" i="1"/>
  <c r="M80" i="1"/>
  <c r="D81" i="1"/>
  <c r="K81" i="1"/>
  <c r="Q81" i="1"/>
  <c r="H82" i="1"/>
  <c r="O82" i="1"/>
  <c r="E83" i="1"/>
  <c r="M83" i="1"/>
  <c r="B84" i="1"/>
  <c r="I84" i="1"/>
  <c r="Q84" i="1"/>
  <c r="G85" i="1"/>
  <c r="M85" i="1"/>
  <c r="D86" i="1"/>
  <c r="K86" i="1"/>
  <c r="A87" i="1"/>
  <c r="I87" i="1"/>
  <c r="O87" i="1"/>
  <c r="E88" i="1"/>
  <c r="M88" i="1"/>
  <c r="C89" i="1"/>
  <c r="I89" i="1"/>
  <c r="Q89" i="1"/>
  <c r="G90" i="1"/>
  <c r="N90" i="1"/>
  <c r="E91" i="1"/>
  <c r="K91" i="1"/>
  <c r="A92" i="1"/>
  <c r="I92" i="1"/>
  <c r="P92" i="1"/>
  <c r="E93" i="1"/>
  <c r="M93" i="1"/>
  <c r="C94" i="1"/>
  <c r="J94" i="1"/>
  <c r="A95" i="1"/>
  <c r="G95" i="1"/>
  <c r="N95" i="1"/>
  <c r="E96" i="1"/>
  <c r="J96" i="1"/>
  <c r="H196" i="1"/>
  <c r="D196" i="1"/>
  <c r="Q195" i="1"/>
  <c r="M195" i="1"/>
  <c r="I195" i="1"/>
  <c r="E195" i="1"/>
  <c r="A195" i="1"/>
  <c r="N194" i="1"/>
  <c r="J194" i="1"/>
  <c r="F194" i="1"/>
  <c r="B194" i="1"/>
  <c r="O193" i="1"/>
  <c r="K193" i="1"/>
  <c r="G193" i="1"/>
  <c r="C193" i="1"/>
  <c r="P192" i="1"/>
  <c r="L192" i="1"/>
  <c r="H192" i="1"/>
  <c r="D192" i="1"/>
  <c r="Q191" i="1"/>
  <c r="M191" i="1"/>
  <c r="I191" i="1"/>
  <c r="E191" i="1"/>
  <c r="A191" i="1"/>
  <c r="N190" i="1"/>
  <c r="J190" i="1"/>
  <c r="F190" i="1"/>
  <c r="B190" i="1"/>
  <c r="O189" i="1"/>
  <c r="K189" i="1"/>
  <c r="G189" i="1"/>
  <c r="C189" i="1"/>
  <c r="P188" i="1"/>
  <c r="L188" i="1"/>
  <c r="H188" i="1"/>
  <c r="D188" i="1"/>
  <c r="Q187" i="1"/>
  <c r="M187" i="1"/>
  <c r="I187" i="1"/>
  <c r="E187" i="1"/>
  <c r="A187" i="1"/>
  <c r="N186" i="1"/>
  <c r="J186" i="1"/>
  <c r="F186" i="1"/>
  <c r="B186" i="1"/>
  <c r="O185" i="1"/>
  <c r="K185" i="1"/>
  <c r="G185" i="1"/>
  <c r="C185" i="1"/>
  <c r="P184" i="1"/>
  <c r="L184" i="1"/>
  <c r="H184" i="1"/>
  <c r="D184" i="1"/>
  <c r="Q183" i="1"/>
  <c r="M183" i="1"/>
  <c r="I183" i="1"/>
  <c r="E183" i="1"/>
  <c r="A183" i="1"/>
  <c r="N182" i="1"/>
  <c r="J182" i="1"/>
  <c r="F182" i="1"/>
  <c r="B182" i="1"/>
  <c r="O181" i="1"/>
  <c r="K181" i="1"/>
  <c r="G181" i="1"/>
  <c r="C181" i="1"/>
  <c r="P180" i="1"/>
  <c r="L180" i="1"/>
  <c r="H180" i="1"/>
  <c r="D180" i="1"/>
  <c r="Q179" i="1"/>
  <c r="M179" i="1"/>
  <c r="I179" i="1"/>
  <c r="E179" i="1"/>
  <c r="A179" i="1"/>
  <c r="N178" i="1"/>
  <c r="J178" i="1"/>
  <c r="F178" i="1"/>
  <c r="B178" i="1"/>
  <c r="O177" i="1"/>
  <c r="K177" i="1"/>
  <c r="G177" i="1"/>
  <c r="C177" i="1"/>
  <c r="P176" i="1"/>
  <c r="L176" i="1"/>
  <c r="H176" i="1"/>
  <c r="D176" i="1"/>
  <c r="Q175" i="1"/>
  <c r="M175" i="1"/>
  <c r="I175" i="1"/>
  <c r="E175" i="1"/>
  <c r="A175" i="1"/>
  <c r="N174" i="1"/>
  <c r="J174" i="1"/>
  <c r="F174" i="1"/>
  <c r="B174" i="1"/>
  <c r="O173" i="1"/>
  <c r="K173" i="1"/>
  <c r="G173" i="1"/>
  <c r="C173" i="1"/>
  <c r="P172" i="1"/>
  <c r="L172" i="1"/>
  <c r="H172" i="1"/>
  <c r="D172" i="1"/>
  <c r="Q171" i="1"/>
  <c r="M171" i="1"/>
  <c r="I171" i="1"/>
  <c r="E171" i="1"/>
  <c r="A171" i="1"/>
  <c r="N170" i="1"/>
  <c r="J170" i="1"/>
  <c r="F170" i="1"/>
  <c r="B170" i="1"/>
  <c r="O169" i="1"/>
  <c r="K169" i="1"/>
  <c r="G169" i="1"/>
  <c r="C169" i="1"/>
  <c r="P168" i="1"/>
  <c r="L168" i="1"/>
  <c r="H168" i="1"/>
  <c r="D168" i="1"/>
  <c r="Q167" i="1"/>
  <c r="M167" i="1"/>
  <c r="I167" i="1"/>
  <c r="E167" i="1"/>
  <c r="A167" i="1"/>
  <c r="N166" i="1"/>
  <c r="J166" i="1"/>
  <c r="F166" i="1"/>
  <c r="B166" i="1"/>
  <c r="O165" i="1"/>
  <c r="K165" i="1"/>
  <c r="G165" i="1"/>
  <c r="C165" i="1"/>
  <c r="P164" i="1"/>
  <c r="L164" i="1"/>
  <c r="H164" i="1"/>
  <c r="D164" i="1"/>
  <c r="Q163" i="1"/>
  <c r="M163" i="1"/>
  <c r="I163" i="1"/>
  <c r="E163" i="1"/>
  <c r="A163" i="1"/>
  <c r="N162" i="1"/>
  <c r="J162" i="1"/>
  <c r="F162" i="1"/>
  <c r="B162" i="1"/>
  <c r="O161" i="1"/>
  <c r="K161" i="1"/>
  <c r="G161" i="1"/>
  <c r="C161" i="1"/>
  <c r="P160" i="1"/>
  <c r="L160" i="1"/>
  <c r="H160" i="1"/>
  <c r="D160" i="1"/>
  <c r="Q159" i="1"/>
  <c r="M159" i="1"/>
  <c r="I159" i="1"/>
  <c r="E159" i="1"/>
  <c r="A159" i="1"/>
  <c r="N158" i="1"/>
  <c r="J158" i="1"/>
  <c r="F158" i="1"/>
  <c r="B158" i="1"/>
  <c r="O157" i="1"/>
  <c r="K157" i="1"/>
  <c r="G157" i="1"/>
  <c r="C157" i="1"/>
  <c r="P156" i="1"/>
  <c r="L156" i="1"/>
  <c r="H156" i="1"/>
  <c r="D156" i="1"/>
  <c r="Q155" i="1"/>
  <c r="M155" i="1"/>
  <c r="I155" i="1"/>
  <c r="E155" i="1"/>
  <c r="A155" i="1"/>
  <c r="N154" i="1"/>
  <c r="J154" i="1"/>
  <c r="F154" i="1"/>
  <c r="B154" i="1"/>
  <c r="O153" i="1"/>
  <c r="K153" i="1"/>
  <c r="G153" i="1"/>
  <c r="C153" i="1"/>
  <c r="P152" i="1"/>
  <c r="L152" i="1"/>
  <c r="H152" i="1"/>
  <c r="D152" i="1"/>
  <c r="Q151" i="1"/>
  <c r="M151" i="1"/>
  <c r="I151" i="1"/>
  <c r="E151" i="1"/>
  <c r="A151" i="1"/>
  <c r="N150" i="1"/>
  <c r="J150" i="1"/>
  <c r="F150" i="1"/>
  <c r="B150" i="1"/>
  <c r="O149" i="1"/>
  <c r="K149" i="1"/>
  <c r="G149" i="1"/>
  <c r="C149" i="1"/>
  <c r="P148" i="1"/>
  <c r="L148" i="1"/>
  <c r="H148" i="1"/>
  <c r="D148" i="1"/>
  <c r="Q147" i="1"/>
  <c r="M147" i="1"/>
  <c r="I147" i="1"/>
  <c r="E147" i="1"/>
  <c r="A147" i="1"/>
  <c r="N146" i="1"/>
  <c r="J146" i="1"/>
  <c r="F146" i="1"/>
  <c r="B146" i="1"/>
  <c r="O145" i="1"/>
  <c r="K145" i="1"/>
  <c r="G145" i="1"/>
  <c r="C145" i="1"/>
  <c r="P144" i="1"/>
  <c r="L144" i="1"/>
  <c r="H144" i="1"/>
  <c r="D144" i="1"/>
  <c r="Q143" i="1"/>
  <c r="M143" i="1"/>
  <c r="I143" i="1"/>
  <c r="E143" i="1"/>
  <c r="A143" i="1"/>
  <c r="N142" i="1"/>
  <c r="J142" i="1"/>
  <c r="F142" i="1"/>
  <c r="B142" i="1"/>
  <c r="O141" i="1"/>
  <c r="K141" i="1"/>
  <c r="G141" i="1"/>
  <c r="C141" i="1"/>
  <c r="P140" i="1"/>
  <c r="L140" i="1"/>
  <c r="H140" i="1"/>
  <c r="D140" i="1"/>
  <c r="Q139" i="1"/>
  <c r="M139" i="1"/>
  <c r="I139" i="1"/>
  <c r="E139" i="1"/>
  <c r="A139" i="1"/>
  <c r="N138" i="1"/>
  <c r="J138" i="1"/>
  <c r="F138" i="1"/>
  <c r="B138" i="1"/>
  <c r="O137" i="1"/>
  <c r="K137" i="1"/>
  <c r="G137" i="1"/>
  <c r="C137" i="1"/>
  <c r="P136" i="1"/>
  <c r="L136" i="1"/>
  <c r="H136" i="1"/>
  <c r="D136" i="1"/>
  <c r="Q135" i="1"/>
  <c r="M135" i="1"/>
  <c r="I135" i="1"/>
  <c r="E135" i="1"/>
  <c r="A135" i="1"/>
  <c r="N134" i="1"/>
  <c r="J134" i="1"/>
  <c r="F134" i="1"/>
  <c r="B134" i="1"/>
  <c r="O133" i="1"/>
  <c r="K133" i="1"/>
  <c r="G133" i="1"/>
  <c r="C133" i="1"/>
  <c r="P132" i="1"/>
  <c r="L132" i="1"/>
  <c r="H132" i="1"/>
  <c r="D132" i="1"/>
  <c r="Q131" i="1"/>
  <c r="M131" i="1"/>
  <c r="I131" i="1"/>
  <c r="E131" i="1"/>
  <c r="A131" i="1"/>
  <c r="N130" i="1"/>
  <c r="J130" i="1"/>
  <c r="F130" i="1"/>
  <c r="B130" i="1"/>
  <c r="O129" i="1"/>
  <c r="K129" i="1"/>
  <c r="G129" i="1"/>
  <c r="C129" i="1"/>
  <c r="P128" i="1"/>
  <c r="L128" i="1"/>
  <c r="H128" i="1"/>
  <c r="D128" i="1"/>
  <c r="Q127" i="1"/>
  <c r="M127" i="1"/>
  <c r="I127" i="1"/>
  <c r="E127" i="1"/>
  <c r="A127" i="1"/>
  <c r="N126" i="1"/>
  <c r="J126" i="1"/>
  <c r="F126" i="1"/>
  <c r="B126" i="1"/>
  <c r="O125" i="1"/>
  <c r="K125" i="1"/>
  <c r="G125" i="1"/>
  <c r="C125" i="1"/>
  <c r="P124" i="1"/>
  <c r="L124" i="1"/>
  <c r="H124" i="1"/>
  <c r="D124" i="1"/>
  <c r="Q123" i="1"/>
  <c r="M123" i="1"/>
  <c r="I123" i="1"/>
  <c r="E123" i="1"/>
  <c r="A123" i="1"/>
  <c r="N122" i="1"/>
  <c r="J122" i="1"/>
  <c r="F122" i="1"/>
  <c r="B122" i="1"/>
  <c r="O121" i="1"/>
  <c r="K121" i="1"/>
  <c r="G121" i="1"/>
  <c r="C121" i="1"/>
  <c r="P120" i="1"/>
  <c r="L120" i="1"/>
  <c r="H120" i="1"/>
  <c r="D120" i="1"/>
  <c r="Q119" i="1"/>
  <c r="M119" i="1"/>
  <c r="I119" i="1"/>
  <c r="E119" i="1"/>
  <c r="A119" i="1"/>
  <c r="N118" i="1"/>
  <c r="J118" i="1"/>
  <c r="F118" i="1"/>
  <c r="B118" i="1"/>
  <c r="O117" i="1"/>
  <c r="K117" i="1"/>
  <c r="G117" i="1"/>
  <c r="C117" i="1"/>
  <c r="P116" i="1"/>
  <c r="L116" i="1"/>
  <c r="H116" i="1"/>
  <c r="D116" i="1"/>
  <c r="Q115" i="1"/>
  <c r="M115" i="1"/>
  <c r="I115" i="1"/>
  <c r="E115" i="1"/>
  <c r="A115" i="1"/>
  <c r="N114" i="1"/>
  <c r="J114" i="1"/>
  <c r="F114" i="1"/>
  <c r="B114" i="1"/>
  <c r="O113" i="1"/>
  <c r="K113" i="1"/>
  <c r="G113" i="1"/>
  <c r="C113" i="1"/>
  <c r="P112" i="1"/>
  <c r="L112" i="1"/>
  <c r="H112" i="1"/>
  <c r="D112" i="1"/>
  <c r="Q111" i="1"/>
  <c r="M111" i="1"/>
  <c r="I111" i="1"/>
  <c r="E111" i="1"/>
  <c r="A111" i="1"/>
  <c r="N110" i="1"/>
  <c r="J110" i="1"/>
  <c r="F110" i="1"/>
  <c r="B110" i="1"/>
  <c r="O109" i="1"/>
  <c r="K109" i="1"/>
  <c r="G109" i="1"/>
  <c r="C109" i="1"/>
  <c r="P108" i="1"/>
  <c r="L108" i="1"/>
  <c r="H108" i="1"/>
  <c r="D108" i="1"/>
  <c r="Q107" i="1"/>
  <c r="M107" i="1"/>
  <c r="I107" i="1"/>
  <c r="E107" i="1"/>
  <c r="A107" i="1"/>
  <c r="N106" i="1"/>
  <c r="J106" i="1"/>
  <c r="F106" i="1"/>
  <c r="B106" i="1"/>
  <c r="O105" i="1"/>
  <c r="K105" i="1"/>
  <c r="G105" i="1"/>
  <c r="C105" i="1"/>
  <c r="P104" i="1"/>
  <c r="L104" i="1"/>
  <c r="H104" i="1"/>
  <c r="D104" i="1"/>
  <c r="Q103" i="1"/>
  <c r="M103" i="1"/>
  <c r="I103" i="1"/>
  <c r="E103" i="1"/>
  <c r="A103" i="1"/>
  <c r="N102" i="1"/>
  <c r="J102" i="1"/>
  <c r="F102" i="1"/>
  <c r="B102" i="1"/>
  <c r="O101" i="1"/>
  <c r="K101" i="1"/>
  <c r="G101" i="1"/>
  <c r="C101" i="1"/>
  <c r="P100" i="1"/>
  <c r="L100" i="1"/>
  <c r="H100" i="1"/>
  <c r="D100" i="1"/>
  <c r="Q99" i="1"/>
  <c r="M99" i="1"/>
  <c r="I99" i="1"/>
  <c r="E99" i="1"/>
  <c r="A99" i="1"/>
  <c r="N98" i="1"/>
  <c r="J98" i="1"/>
  <c r="F98" i="1"/>
  <c r="B98" i="1"/>
  <c r="O97" i="1"/>
  <c r="K97" i="1"/>
  <c r="G97" i="1"/>
  <c r="C97" i="1"/>
  <c r="P96" i="1"/>
  <c r="L96" i="1"/>
  <c r="H96" i="1"/>
  <c r="D96" i="1"/>
  <c r="O95" i="1"/>
  <c r="J95" i="1"/>
  <c r="E95" i="1"/>
  <c r="P94" i="1"/>
  <c r="K94" i="1"/>
  <c r="F94" i="1"/>
  <c r="Q93" i="1"/>
  <c r="L93" i="1"/>
  <c r="G93" i="1"/>
  <c r="A93" i="1"/>
  <c r="M92" i="1"/>
  <c r="H92" i="1"/>
  <c r="B92" i="1"/>
  <c r="N91" i="1"/>
  <c r="I91" i="1"/>
  <c r="C91" i="1"/>
  <c r="O90" i="1"/>
  <c r="J90" i="1"/>
  <c r="D90" i="1"/>
  <c r="P89" i="1"/>
  <c r="K89" i="1"/>
  <c r="E89" i="1"/>
  <c r="Q88" i="1"/>
  <c r="L88" i="1"/>
  <c r="F88" i="1"/>
  <c r="A88" i="1"/>
  <c r="M87" i="1"/>
  <c r="G87" i="1"/>
  <c r="B87" i="1"/>
  <c r="N86" i="1"/>
  <c r="H86" i="1"/>
  <c r="C86" i="1"/>
  <c r="O85" i="1"/>
  <c r="I85" i="1"/>
  <c r="D85" i="1"/>
  <c r="P84" i="1"/>
  <c r="J84" i="1"/>
  <c r="E84" i="1"/>
  <c r="Q83" i="1"/>
  <c r="K83" i="1"/>
  <c r="F83" i="1"/>
  <c r="A83" i="1"/>
  <c r="L82" i="1"/>
  <c r="G82" i="1"/>
  <c r="B82" i="1"/>
  <c r="M81" i="1"/>
  <c r="H81" i="1"/>
  <c r="C81" i="1"/>
  <c r="N80" i="1"/>
  <c r="I80" i="1"/>
  <c r="D80" i="1"/>
  <c r="O79" i="1"/>
  <c r="J79" i="1"/>
  <c r="E79" i="1"/>
  <c r="P78" i="1"/>
  <c r="K78" i="1"/>
  <c r="F78" i="1"/>
  <c r="Q77" i="1"/>
  <c r="L77" i="1"/>
  <c r="G77" i="1"/>
  <c r="A77" i="1"/>
  <c r="M76" i="1"/>
  <c r="H76" i="1"/>
  <c r="B76" i="1"/>
  <c r="N75" i="1"/>
  <c r="I75" i="1"/>
  <c r="C75" i="1"/>
  <c r="O74" i="1"/>
  <c r="J74" i="1"/>
  <c r="D74" i="1"/>
  <c r="P73" i="1"/>
  <c r="K73" i="1"/>
  <c r="E73" i="1"/>
  <c r="Q72" i="1"/>
  <c r="L72" i="1"/>
  <c r="F72" i="1"/>
  <c r="A72" i="1"/>
  <c r="M71" i="1"/>
  <c r="G71" i="1"/>
  <c r="B71" i="1"/>
  <c r="N70" i="1"/>
  <c r="H70" i="1"/>
  <c r="C70" i="1"/>
  <c r="O69" i="1"/>
  <c r="I69" i="1"/>
  <c r="D69" i="1"/>
  <c r="P68" i="1"/>
  <c r="J68" i="1"/>
  <c r="E68" i="1"/>
  <c r="Q67" i="1"/>
  <c r="K67" i="1"/>
  <c r="F67" i="1"/>
  <c r="A67" i="1"/>
  <c r="L66" i="1"/>
  <c r="G66" i="1"/>
  <c r="B66" i="1"/>
  <c r="M65" i="1"/>
  <c r="H65" i="1"/>
  <c r="C65" i="1"/>
  <c r="N64" i="1"/>
  <c r="I64" i="1"/>
  <c r="D64" i="1"/>
  <c r="O63" i="1"/>
  <c r="J63" i="1"/>
  <c r="E63" i="1"/>
  <c r="P62" i="1"/>
  <c r="K62" i="1"/>
  <c r="F62" i="1"/>
  <c r="Q61" i="1"/>
  <c r="L61" i="1"/>
  <c r="G61" i="1"/>
  <c r="A61" i="1"/>
  <c r="M60" i="1"/>
  <c r="H60" i="1"/>
  <c r="B60" i="1"/>
  <c r="N59" i="1"/>
  <c r="I59" i="1"/>
  <c r="C59" i="1"/>
  <c r="O58" i="1"/>
  <c r="J58" i="1"/>
  <c r="D58" i="1"/>
  <c r="P57" i="1"/>
  <c r="K57" i="1"/>
  <c r="E57" i="1"/>
  <c r="Q56" i="1"/>
  <c r="L56" i="1"/>
  <c r="F56" i="1"/>
  <c r="A56" i="1"/>
  <c r="M55" i="1"/>
  <c r="G55" i="1"/>
  <c r="B55" i="1"/>
  <c r="N54" i="1"/>
  <c r="H54" i="1"/>
  <c r="C54" i="1"/>
  <c r="O53" i="1"/>
  <c r="I53" i="1"/>
  <c r="D53" i="1"/>
  <c r="P52" i="1"/>
  <c r="J52" i="1"/>
  <c r="E52" i="1"/>
  <c r="Q51" i="1"/>
  <c r="K51" i="1"/>
  <c r="F51" i="1"/>
  <c r="A51" i="1"/>
  <c r="L50" i="1"/>
  <c r="G50" i="1"/>
  <c r="B50" i="1"/>
  <c r="M49" i="1"/>
  <c r="H49" i="1"/>
  <c r="C49" i="1"/>
  <c r="N48" i="1"/>
  <c r="I48" i="1"/>
  <c r="D48" i="1"/>
  <c r="O47" i="1"/>
  <c r="J47" i="1"/>
  <c r="E47" i="1"/>
  <c r="P46" i="1"/>
  <c r="K46" i="1"/>
  <c r="F46" i="1"/>
  <c r="Q45" i="1"/>
  <c r="J45" i="1"/>
  <c r="C45" i="1"/>
  <c r="L44" i="1"/>
  <c r="F44" i="1"/>
  <c r="P43" i="1"/>
  <c r="H43" i="1"/>
  <c r="A43" i="1"/>
  <c r="L42" i="1"/>
  <c r="D42" i="1"/>
  <c r="N41" i="1"/>
  <c r="G41" i="1"/>
  <c r="P40" i="1"/>
  <c r="J40" i="1"/>
  <c r="C40" i="1"/>
  <c r="L39" i="1"/>
  <c r="E39" i="1"/>
  <c r="P38" i="1"/>
  <c r="H38" i="1"/>
  <c r="A38" i="1"/>
  <c r="K37" i="1"/>
  <c r="C37" i="1"/>
  <c r="N36" i="1"/>
  <c r="G36" i="1"/>
  <c r="P35" i="1"/>
  <c r="I35" i="1"/>
  <c r="C35" i="1"/>
  <c r="L34" i="1"/>
  <c r="E34" i="1"/>
  <c r="O33" i="1"/>
  <c r="G33" i="1"/>
  <c r="A33" i="1"/>
  <c r="K32" i="1"/>
  <c r="C32" i="1"/>
  <c r="M31" i="1"/>
  <c r="G31" i="1"/>
  <c r="P30" i="1"/>
  <c r="I30" i="1"/>
  <c r="B30" i="1"/>
  <c r="K29" i="1"/>
  <c r="E29" i="1"/>
  <c r="O28" i="1"/>
  <c r="G28" i="1"/>
  <c r="Q27" i="1"/>
  <c r="K27" i="1"/>
  <c r="C27" i="1"/>
  <c r="M26" i="1"/>
  <c r="F26" i="1"/>
  <c r="O25" i="1"/>
  <c r="I25" i="1"/>
  <c r="B25" i="1"/>
  <c r="K24" i="1"/>
  <c r="D24" i="1"/>
  <c r="O23" i="1"/>
  <c r="G23" i="1"/>
  <c r="Q22" i="1"/>
  <c r="J22" i="1"/>
  <c r="B22" i="1"/>
  <c r="M21" i="1"/>
  <c r="F21" i="1"/>
  <c r="N20" i="1"/>
  <c r="E20" i="1"/>
  <c r="N19" i="1"/>
  <c r="C19" i="1"/>
  <c r="K18" i="1"/>
  <c r="A18" i="1"/>
  <c r="H17" i="1"/>
  <c r="Q16" i="1"/>
  <c r="G16" i="1"/>
  <c r="N15" i="1"/>
  <c r="D15" i="1"/>
  <c r="M14" i="1"/>
  <c r="C14" i="1"/>
  <c r="J13" i="1"/>
  <c r="A13" i="1"/>
  <c r="G12" i="1"/>
  <c r="P11" i="1"/>
  <c r="G11" i="1"/>
  <c r="M10" i="1"/>
  <c r="D10" i="1"/>
  <c r="M9" i="1"/>
  <c r="B9" i="1"/>
  <c r="J8" i="1"/>
  <c r="A8" i="1"/>
  <c r="G7" i="1"/>
  <c r="P6" i="1"/>
  <c r="G6" i="1"/>
  <c r="M5" i="1"/>
  <c r="D5" i="1"/>
  <c r="M4" i="1"/>
  <c r="B4" i="1"/>
  <c r="J3" i="1"/>
  <c r="Q2" i="1"/>
  <c r="G2" i="1"/>
  <c r="P1" i="1"/>
  <c r="F1" i="1"/>
  <c r="B1" i="1"/>
  <c r="G4" i="1"/>
  <c r="O3" i="1"/>
  <c r="D3" i="1"/>
  <c r="L2" i="1"/>
  <c r="D2" i="1"/>
  <c r="J1" i="1"/>
  <c r="C1" i="1"/>
  <c r="G1" i="1"/>
  <c r="K1" i="1"/>
  <c r="O1" i="1"/>
  <c r="B2" i="1"/>
  <c r="F2" i="1"/>
  <c r="J2" i="1"/>
  <c r="N2" i="1"/>
  <c r="A3" i="1"/>
  <c r="E3" i="1"/>
  <c r="I3" i="1"/>
  <c r="M3" i="1"/>
  <c r="Q3" i="1"/>
  <c r="D4" i="1"/>
  <c r="H4" i="1"/>
  <c r="L4" i="1"/>
  <c r="P4" i="1"/>
  <c r="C5" i="1"/>
  <c r="G5" i="1"/>
  <c r="K5" i="1"/>
  <c r="O5" i="1"/>
  <c r="B6" i="1"/>
  <c r="F6" i="1"/>
  <c r="J6" i="1"/>
  <c r="N6" i="1"/>
  <c r="A7" i="1"/>
  <c r="E7" i="1"/>
  <c r="I7" i="1"/>
  <c r="M7" i="1"/>
  <c r="Q7" i="1"/>
  <c r="D8" i="1"/>
  <c r="H8" i="1"/>
  <c r="L8" i="1"/>
  <c r="P8" i="1"/>
  <c r="C9" i="1"/>
  <c r="G9" i="1"/>
  <c r="K9" i="1"/>
  <c r="O9" i="1"/>
  <c r="B10" i="1"/>
  <c r="F10" i="1"/>
  <c r="J10" i="1"/>
  <c r="N10" i="1"/>
  <c r="A11" i="1"/>
  <c r="E11" i="1"/>
  <c r="I11" i="1"/>
  <c r="M11" i="1"/>
  <c r="Q11" i="1"/>
  <c r="D12" i="1"/>
  <c r="H12" i="1"/>
  <c r="L12" i="1"/>
  <c r="P12" i="1"/>
  <c r="C13" i="1"/>
  <c r="G13" i="1"/>
  <c r="K13" i="1"/>
  <c r="O13" i="1"/>
  <c r="B14" i="1"/>
  <c r="F14" i="1"/>
  <c r="J14" i="1"/>
  <c r="N14" i="1"/>
  <c r="A15" i="1"/>
  <c r="E15" i="1"/>
  <c r="I15" i="1"/>
  <c r="M15" i="1"/>
  <c r="Q15" i="1"/>
  <c r="D16" i="1"/>
  <c r="H16" i="1"/>
  <c r="L16" i="1"/>
  <c r="P16" i="1"/>
  <c r="C17" i="1"/>
  <c r="G17" i="1"/>
  <c r="K17" i="1"/>
  <c r="O17" i="1"/>
  <c r="B18" i="1"/>
  <c r="F18" i="1"/>
  <c r="J18" i="1"/>
  <c r="N18" i="1"/>
  <c r="A19" i="1"/>
  <c r="E19" i="1"/>
  <c r="I19" i="1"/>
  <c r="M19" i="1"/>
  <c r="Q19" i="1"/>
  <c r="D20" i="1"/>
  <c r="H20" i="1"/>
  <c r="L20" i="1"/>
  <c r="P20" i="1"/>
  <c r="D1" i="1"/>
  <c r="I1" i="1"/>
  <c r="N1" i="1"/>
  <c r="C2" i="1"/>
  <c r="H2" i="1"/>
  <c r="M2" i="1"/>
  <c r="B3" i="1"/>
  <c r="G3" i="1"/>
  <c r="L3" i="1"/>
  <c r="A4" i="1"/>
  <c r="F4" i="1"/>
  <c r="K4" i="1"/>
  <c r="Q4" i="1"/>
  <c r="E5" i="1"/>
  <c r="J5" i="1"/>
  <c r="P5" i="1"/>
  <c r="D6" i="1"/>
  <c r="I6" i="1"/>
  <c r="O6" i="1"/>
  <c r="C7" i="1"/>
  <c r="H7" i="1"/>
  <c r="N7" i="1"/>
  <c r="B8" i="1"/>
  <c r="G8" i="1"/>
  <c r="M8" i="1"/>
  <c r="A9" i="1"/>
  <c r="F9" i="1"/>
  <c r="L9" i="1"/>
  <c r="Q9" i="1"/>
  <c r="E10" i="1"/>
  <c r="K10" i="1"/>
  <c r="P10" i="1"/>
  <c r="D11" i="1"/>
  <c r="J11" i="1"/>
  <c r="O11" i="1"/>
  <c r="C12" i="1"/>
  <c r="I12" i="1"/>
  <c r="N12" i="1"/>
  <c r="B13" i="1"/>
  <c r="H13" i="1"/>
  <c r="M13" i="1"/>
  <c r="A14" i="1"/>
  <c r="G14" i="1"/>
  <c r="L14" i="1"/>
  <c r="Q14" i="1"/>
  <c r="F15" i="1"/>
  <c r="K15" i="1"/>
  <c r="P15" i="1"/>
  <c r="E16" i="1"/>
  <c r="J16" i="1"/>
  <c r="O16" i="1"/>
  <c r="D17" i="1"/>
  <c r="I17" i="1"/>
  <c r="N17" i="1"/>
  <c r="C18" i="1"/>
  <c r="H18" i="1"/>
  <c r="M18" i="1"/>
  <c r="B19" i="1"/>
  <c r="G19" i="1"/>
  <c r="L19" i="1"/>
  <c r="A20" i="1"/>
  <c r="F20" i="1"/>
  <c r="K20" i="1"/>
  <c r="Q20" i="1"/>
  <c r="D21" i="1"/>
  <c r="H21" i="1"/>
  <c r="L21" i="1"/>
  <c r="P21" i="1"/>
  <c r="C22" i="1"/>
  <c r="G22" i="1"/>
  <c r="K22" i="1"/>
  <c r="O22" i="1"/>
  <c r="B23" i="1"/>
  <c r="F23" i="1"/>
  <c r="J23" i="1"/>
  <c r="N23" i="1"/>
  <c r="A24" i="1"/>
  <c r="E24" i="1"/>
  <c r="I24" i="1"/>
  <c r="M24" i="1"/>
  <c r="Q24" i="1"/>
  <c r="D25" i="1"/>
  <c r="H25" i="1"/>
  <c r="L25" i="1"/>
  <c r="P25" i="1"/>
  <c r="C26" i="1"/>
  <c r="G26" i="1"/>
  <c r="K26" i="1"/>
  <c r="O26" i="1"/>
  <c r="B27" i="1"/>
  <c r="F27" i="1"/>
  <c r="J27" i="1"/>
  <c r="N27" i="1"/>
  <c r="A28" i="1"/>
  <c r="E28" i="1"/>
  <c r="I28" i="1"/>
  <c r="M28" i="1"/>
  <c r="Q28" i="1"/>
  <c r="D29" i="1"/>
  <c r="H29" i="1"/>
  <c r="L29" i="1"/>
  <c r="P29" i="1"/>
  <c r="C30" i="1"/>
  <c r="G30" i="1"/>
  <c r="K30" i="1"/>
  <c r="O30" i="1"/>
  <c r="B31" i="1"/>
  <c r="F31" i="1"/>
  <c r="J31" i="1"/>
  <c r="N31" i="1"/>
  <c r="A32" i="1"/>
  <c r="E32" i="1"/>
  <c r="I32" i="1"/>
  <c r="M32" i="1"/>
  <c r="Q32" i="1"/>
  <c r="D33" i="1"/>
  <c r="H33" i="1"/>
  <c r="L33" i="1"/>
  <c r="P33" i="1"/>
  <c r="C34" i="1"/>
  <c r="G34" i="1"/>
  <c r="K34" i="1"/>
  <c r="O34" i="1"/>
  <c r="B35" i="1"/>
  <c r="F35" i="1"/>
  <c r="J35" i="1"/>
  <c r="N35" i="1"/>
  <c r="A36" i="1"/>
  <c r="E36" i="1"/>
  <c r="I36" i="1"/>
  <c r="M36" i="1"/>
  <c r="Q36" i="1"/>
  <c r="D37" i="1"/>
  <c r="H37" i="1"/>
  <c r="L37" i="1"/>
  <c r="P37" i="1"/>
  <c r="C38" i="1"/>
  <c r="G38" i="1"/>
  <c r="K38" i="1"/>
  <c r="O38" i="1"/>
  <c r="B39" i="1"/>
  <c r="F39" i="1"/>
  <c r="J39" i="1"/>
  <c r="N39" i="1"/>
  <c r="A40" i="1"/>
  <c r="E40" i="1"/>
  <c r="I40" i="1"/>
  <c r="M40" i="1"/>
  <c r="Q40" i="1"/>
  <c r="D41" i="1"/>
  <c r="H41" i="1"/>
  <c r="L41" i="1"/>
  <c r="P41" i="1"/>
  <c r="C42" i="1"/>
  <c r="G42" i="1"/>
  <c r="K42" i="1"/>
  <c r="O42" i="1"/>
  <c r="B43" i="1"/>
  <c r="F43" i="1"/>
  <c r="J43" i="1"/>
  <c r="N43" i="1"/>
  <c r="A44" i="1"/>
  <c r="E44" i="1"/>
  <c r="I44" i="1"/>
  <c r="M44" i="1"/>
  <c r="Q44" i="1"/>
  <c r="D45" i="1"/>
  <c r="H45" i="1"/>
  <c r="L45" i="1"/>
  <c r="P45" i="1"/>
  <c r="E1" i="1"/>
  <c r="L1" i="1"/>
  <c r="A2" i="1"/>
  <c r="I2" i="1"/>
  <c r="P2" i="1"/>
  <c r="F3" i="1"/>
  <c r="N3" i="1"/>
  <c r="C4" i="1"/>
  <c r="J4" i="1"/>
  <c r="A5" i="1"/>
  <c r="H5" i="1"/>
  <c r="N5" i="1"/>
  <c r="E6" i="1"/>
  <c r="L6" i="1"/>
  <c r="B7" i="1"/>
  <c r="J7" i="1"/>
  <c r="P7" i="1"/>
  <c r="F8" i="1"/>
  <c r="N8" i="1"/>
  <c r="D9" i="1"/>
  <c r="J9" i="1"/>
  <c r="A10" i="1"/>
  <c r="H10" i="1"/>
  <c r="O10" i="1"/>
  <c r="F11" i="1"/>
  <c r="L11" i="1"/>
  <c r="B12" i="1"/>
  <c r="J12" i="1"/>
  <c r="Q12" i="1"/>
  <c r="F13" i="1"/>
  <c r="N13" i="1"/>
  <c r="D14" i="1"/>
  <c r="K14" i="1"/>
  <c r="B15" i="1"/>
  <c r="H15" i="1"/>
  <c r="O15" i="1"/>
  <c r="F16" i="1"/>
  <c r="M16" i="1"/>
  <c r="B17" i="1"/>
  <c r="J17" i="1"/>
  <c r="Q17" i="1"/>
  <c r="G18" i="1"/>
  <c r="O18" i="1"/>
  <c r="D19" i="1"/>
  <c r="K19" i="1"/>
  <c r="B20" i="1"/>
  <c r="I20" i="1"/>
  <c r="O20" i="1"/>
  <c r="E21" i="1"/>
  <c r="J21" i="1"/>
  <c r="O21" i="1"/>
  <c r="D22" i="1"/>
  <c r="I22" i="1"/>
  <c r="N22" i="1"/>
  <c r="C23" i="1"/>
  <c r="H23" i="1"/>
  <c r="M23" i="1"/>
  <c r="B24" i="1"/>
  <c r="G24" i="1"/>
  <c r="L24" i="1"/>
  <c r="A25" i="1"/>
  <c r="F25" i="1"/>
  <c r="K25" i="1"/>
  <c r="Q25" i="1"/>
  <c r="E26" i="1"/>
  <c r="J26" i="1"/>
  <c r="P26" i="1"/>
  <c r="D27" i="1"/>
  <c r="I27" i="1"/>
  <c r="O27" i="1"/>
  <c r="C28" i="1"/>
  <c r="H28" i="1"/>
  <c r="N28" i="1"/>
  <c r="B29" i="1"/>
  <c r="G29" i="1"/>
  <c r="M29" i="1"/>
  <c r="A30" i="1"/>
  <c r="F30" i="1"/>
  <c r="L30" i="1"/>
  <c r="Q30" i="1"/>
  <c r="E31" i="1"/>
  <c r="K31" i="1"/>
  <c r="P31" i="1"/>
  <c r="D32" i="1"/>
  <c r="J32" i="1"/>
  <c r="O32" i="1"/>
  <c r="C33" i="1"/>
  <c r="I33" i="1"/>
  <c r="N33" i="1"/>
  <c r="B34" i="1"/>
  <c r="H34" i="1"/>
  <c r="M34" i="1"/>
  <c r="A35" i="1"/>
  <c r="G35" i="1"/>
  <c r="L35" i="1"/>
  <c r="Q35" i="1"/>
  <c r="F36" i="1"/>
  <c r="K36" i="1"/>
  <c r="P36" i="1"/>
  <c r="E37" i="1"/>
  <c r="J37" i="1"/>
  <c r="O37" i="1"/>
  <c r="D38" i="1"/>
  <c r="I38" i="1"/>
  <c r="N38" i="1"/>
  <c r="C39" i="1"/>
  <c r="H39" i="1"/>
  <c r="M39" i="1"/>
  <c r="B40" i="1"/>
  <c r="G40" i="1"/>
  <c r="L40" i="1"/>
  <c r="A41" i="1"/>
  <c r="F41" i="1"/>
  <c r="K41" i="1"/>
  <c r="Q41" i="1"/>
  <c r="E42" i="1"/>
  <c r="J42" i="1"/>
  <c r="P42" i="1"/>
  <c r="D43" i="1"/>
  <c r="I43" i="1"/>
  <c r="O43" i="1"/>
  <c r="C44" i="1"/>
  <c r="H44" i="1"/>
  <c r="N44" i="1"/>
  <c r="B45" i="1"/>
  <c r="G45" i="1"/>
  <c r="M45" i="1"/>
  <c r="A46" i="1"/>
  <c r="E46" i="1"/>
  <c r="I46" i="1"/>
  <c r="M46" i="1"/>
  <c r="Q46" i="1"/>
  <c r="D47" i="1"/>
  <c r="H47" i="1"/>
  <c r="L47" i="1"/>
  <c r="P47" i="1"/>
  <c r="C48" i="1"/>
  <c r="G48" i="1"/>
  <c r="K48" i="1"/>
  <c r="O48" i="1"/>
  <c r="B49" i="1"/>
  <c r="F49" i="1"/>
  <c r="J49" i="1"/>
  <c r="N49" i="1"/>
  <c r="A50" i="1"/>
  <c r="E50" i="1"/>
  <c r="I50" i="1"/>
  <c r="M50" i="1"/>
  <c r="Q50" i="1"/>
  <c r="D51" i="1"/>
  <c r="H51" i="1"/>
  <c r="L51" i="1"/>
  <c r="P51" i="1"/>
  <c r="C52" i="1"/>
  <c r="G52" i="1"/>
  <c r="K52" i="1"/>
  <c r="O52" i="1"/>
  <c r="B53" i="1"/>
  <c r="F53" i="1"/>
  <c r="J53" i="1"/>
  <c r="N53" i="1"/>
  <c r="A54" i="1"/>
  <c r="E54" i="1"/>
  <c r="I54" i="1"/>
  <c r="M54" i="1"/>
  <c r="Q54" i="1"/>
  <c r="D55" i="1"/>
  <c r="H55" i="1"/>
  <c r="L55" i="1"/>
  <c r="P55" i="1"/>
  <c r="C56" i="1"/>
  <c r="G56" i="1"/>
  <c r="K56" i="1"/>
  <c r="O56" i="1"/>
  <c r="B57" i="1"/>
  <c r="F57" i="1"/>
  <c r="J57" i="1"/>
  <c r="N57" i="1"/>
  <c r="A58" i="1"/>
  <c r="E58" i="1"/>
  <c r="I58" i="1"/>
  <c r="M58" i="1"/>
  <c r="Q58" i="1"/>
  <c r="D59" i="1"/>
  <c r="H59" i="1"/>
  <c r="L59" i="1"/>
  <c r="P59" i="1"/>
  <c r="C60" i="1"/>
  <c r="G60" i="1"/>
  <c r="K60" i="1"/>
  <c r="O60" i="1"/>
  <c r="B61" i="1"/>
  <c r="F61" i="1"/>
  <c r="J61" i="1"/>
  <c r="N61" i="1"/>
  <c r="A62" i="1"/>
  <c r="E62" i="1"/>
  <c r="I62" i="1"/>
  <c r="M62" i="1"/>
  <c r="Q62" i="1"/>
  <c r="D63" i="1"/>
  <c r="H63" i="1"/>
  <c r="L63" i="1"/>
  <c r="P63" i="1"/>
  <c r="C64" i="1"/>
  <c r="G64" i="1"/>
  <c r="K64" i="1"/>
  <c r="O64" i="1"/>
  <c r="B65" i="1"/>
  <c r="F65" i="1"/>
  <c r="J65" i="1"/>
  <c r="N65" i="1"/>
  <c r="A66" i="1"/>
  <c r="E66" i="1"/>
  <c r="I66" i="1"/>
  <c r="M66" i="1"/>
  <c r="Q66" i="1"/>
  <c r="D67" i="1"/>
  <c r="H67" i="1"/>
  <c r="L67" i="1"/>
  <c r="P67" i="1"/>
  <c r="C68" i="1"/>
  <c r="G68" i="1"/>
  <c r="K68" i="1"/>
  <c r="O68" i="1"/>
  <c r="B69" i="1"/>
  <c r="F69" i="1"/>
  <c r="J69" i="1"/>
  <c r="N69" i="1"/>
  <c r="A70" i="1"/>
  <c r="E70" i="1"/>
  <c r="I70" i="1"/>
  <c r="M70" i="1"/>
  <c r="Q70" i="1"/>
  <c r="D71" i="1"/>
  <c r="H71" i="1"/>
  <c r="L71" i="1"/>
  <c r="P71" i="1"/>
  <c r="C72" i="1"/>
  <c r="G72" i="1"/>
  <c r="K72" i="1"/>
  <c r="O72" i="1"/>
  <c r="B73" i="1"/>
  <c r="F73" i="1"/>
  <c r="J73" i="1"/>
  <c r="N73" i="1"/>
  <c r="A74" i="1"/>
  <c r="E74" i="1"/>
  <c r="I74" i="1"/>
  <c r="M74" i="1"/>
  <c r="Q74" i="1"/>
  <c r="D75" i="1"/>
  <c r="H75" i="1"/>
  <c r="L75" i="1"/>
  <c r="P75" i="1"/>
  <c r="C76" i="1"/>
  <c r="G76" i="1"/>
  <c r="K76" i="1"/>
  <c r="O76" i="1"/>
  <c r="B77" i="1"/>
  <c r="F77" i="1"/>
  <c r="J77" i="1"/>
  <c r="N77" i="1"/>
  <c r="A78" i="1"/>
  <c r="E78" i="1"/>
  <c r="I78" i="1"/>
  <c r="M78" i="1"/>
  <c r="Q78" i="1"/>
  <c r="D79" i="1"/>
  <c r="H79" i="1"/>
  <c r="L79" i="1"/>
  <c r="P79" i="1"/>
  <c r="C80" i="1"/>
  <c r="G80" i="1"/>
  <c r="K80" i="1"/>
  <c r="O80" i="1"/>
  <c r="B81" i="1"/>
  <c r="F81" i="1"/>
  <c r="J81" i="1"/>
  <c r="N81" i="1"/>
  <c r="A82" i="1"/>
  <c r="E82" i="1"/>
  <c r="I82" i="1"/>
  <c r="M82" i="1"/>
  <c r="Q82" i="1"/>
  <c r="D83" i="1"/>
  <c r="H83" i="1"/>
  <c r="L83" i="1"/>
  <c r="P83" i="1"/>
  <c r="C84" i="1"/>
  <c r="G84" i="1"/>
  <c r="K84" i="1"/>
  <c r="O84" i="1"/>
  <c r="B85" i="1"/>
  <c r="F85" i="1"/>
  <c r="J85" i="1"/>
  <c r="N85" i="1"/>
  <c r="A86" i="1"/>
  <c r="E86" i="1"/>
  <c r="I86" i="1"/>
  <c r="M86" i="1"/>
  <c r="Q86" i="1"/>
  <c r="D87" i="1"/>
  <c r="H87" i="1"/>
  <c r="L87" i="1"/>
  <c r="P87" i="1"/>
  <c r="C88" i="1"/>
  <c r="G88" i="1"/>
  <c r="K88" i="1"/>
  <c r="O88" i="1"/>
  <c r="B89" i="1"/>
  <c r="F89" i="1"/>
  <c r="J89" i="1"/>
  <c r="N89" i="1"/>
  <c r="A90" i="1"/>
  <c r="E90" i="1"/>
  <c r="I90" i="1"/>
  <c r="M90" i="1"/>
  <c r="Q90" i="1"/>
  <c r="D91" i="1"/>
  <c r="H91" i="1"/>
  <c r="L91" i="1"/>
  <c r="P91" i="1"/>
  <c r="C92" i="1"/>
  <c r="G92" i="1"/>
  <c r="K92" i="1"/>
  <c r="O92" i="1"/>
  <c r="B93" i="1"/>
  <c r="F93" i="1"/>
  <c r="J93" i="1"/>
  <c r="N93" i="1"/>
  <c r="A94" i="1"/>
  <c r="E94" i="1"/>
  <c r="I94" i="1"/>
  <c r="M94" i="1"/>
  <c r="Q94" i="1"/>
  <c r="D95" i="1"/>
  <c r="H95" i="1"/>
  <c r="L95" i="1"/>
  <c r="P95" i="1"/>
  <c r="C9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;[Red]\-0\ "/>
  </numFmts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charset val="177"/>
    </font>
    <font>
      <b/>
      <sz val="9"/>
      <name val="Arial"/>
      <family val="2"/>
      <charset val="177"/>
    </font>
    <font>
      <b/>
      <sz val="10"/>
      <name val="Arial"/>
      <family val="2"/>
      <charset val="177"/>
    </font>
    <font>
      <u/>
      <sz val="11"/>
      <color theme="10"/>
      <name val="Arial"/>
      <family val="2"/>
      <charset val="177"/>
    </font>
    <font>
      <b/>
      <sz val="10"/>
      <color rgb="FF7030A0"/>
      <name val="Arial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indexed="3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0">
    <xf numFmtId="0" fontId="0" fillId="0" borderId="0" xfId="0"/>
    <xf numFmtId="49" fontId="4" fillId="3" borderId="1" xfId="1" applyNumberFormat="1" applyFont="1" applyFill="1" applyBorder="1" applyAlignment="1">
      <alignment horizontal="center" vertical="center" wrapText="1" readingOrder="2"/>
    </xf>
    <xf numFmtId="49" fontId="4" fillId="4" borderId="1" xfId="1" applyNumberFormat="1" applyFont="1" applyFill="1" applyBorder="1" applyAlignment="1">
      <alignment horizontal="center" vertical="center" wrapText="1" readingOrder="2"/>
    </xf>
    <xf numFmtId="49" fontId="4" fillId="2" borderId="1" xfId="1" applyNumberFormat="1" applyFont="1" applyFill="1" applyBorder="1" applyAlignment="1">
      <alignment horizontal="center" vertical="center" wrapText="1" readingOrder="2"/>
    </xf>
    <xf numFmtId="49" fontId="4" fillId="3" borderId="1" xfId="1" applyNumberFormat="1" applyFont="1" applyFill="1" applyBorder="1" applyAlignment="1">
      <alignment horizontal="center" vertical="center" shrinkToFit="1" readingOrder="2"/>
    </xf>
    <xf numFmtId="1" fontId="4" fillId="3" borderId="1" xfId="1" applyNumberFormat="1" applyFont="1" applyFill="1" applyBorder="1" applyAlignment="1">
      <alignment horizontal="center" vertical="center" wrapText="1" readingOrder="2"/>
    </xf>
    <xf numFmtId="164" fontId="3" fillId="5" borderId="1" xfId="1" applyNumberFormat="1" applyFont="1" applyFill="1" applyBorder="1" applyAlignment="1">
      <alignment horizontal="center" vertical="center" wrapText="1" readingOrder="2"/>
    </xf>
    <xf numFmtId="164" fontId="6" fillId="7" borderId="1" xfId="1" applyNumberFormat="1" applyFont="1" applyFill="1" applyBorder="1" applyAlignment="1">
      <alignment horizontal="center" vertical="center" wrapText="1" readingOrder="2"/>
    </xf>
    <xf numFmtId="164" fontId="4" fillId="6" borderId="1" xfId="1" applyNumberFormat="1" applyFont="1" applyFill="1" applyBorder="1" applyAlignment="1">
      <alignment horizontal="center" vertical="center" wrapText="1" readingOrder="2"/>
    </xf>
    <xf numFmtId="0" fontId="0" fillId="0" borderId="1" xfId="0" applyBorder="1"/>
  </cellXfs>
  <cellStyles count="5">
    <cellStyle name="Hyperlink 2" xfId="3"/>
    <cellStyle name="Normal" xfId="0" builtinId="0"/>
    <cellStyle name="Normal 2" xfId="2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D:\Dropbox\DATAMAP\&#1502;&#1496;&#1500;&#1493;&#1514;%20&#1493;&#1489;&#1497;&#1511;&#1493;&#1512;&#1493;&#1514;%20&#1514;&#1510;&#1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בקורות תצ&quot;ר!R1C1:R351C17" advise="1">
            <x14:values rows="351" cols="17">
              <value t="str">
                <val>מ"ע
דטהמפ</val>
              </value>
              <value t="str">
                <val>שם העבודה</val>
              </value>
              <value t="str">
                <val>גושים</val>
              </value>
              <value t="str">
                <val>חלקות</val>
              </value>
              <value t="str">
                <val>מס' מ.מ.מ\פר' ביקורת\אגד\מספר חנית</val>
              </value>
              <value t="str">
                <val>מחוז</val>
              </value>
              <value t="str">
                <val>אליפסות</val>
              </value>
              <value t="str">
                <val>מצב התיק\
מסירה אחרונה</val>
              </value>
              <value t="str">
                <val>כשר לרישום =V</val>
              </value>
              <value t="str">
                <val>כמות אליפסות</val>
              </value>
              <value t="str">
                <val>שם העובדת</val>
              </value>
              <value t="str">
                <val>תאריךמסירת  התיק לביקורת</val>
              </value>
              <value t="str">
                <val>שם הבודק\ת</val>
              </value>
              <value t="str">
                <val>הערות</val>
              </value>
              <value t="str">
                <val>המשווק</val>
              </value>
              <value t="str">
                <val>תגובת מפ"י מיום 14.1.2015
ללוח הזמנים</val>
              </value>
              <value t="str">
                <val>סטטוס
רישום</val>
              </value>
              <value>
                <val>45</val>
              </value>
              <value t="str">
                <val>ראשון לציון מער מערבי
תב"ע  רצ / 1 / 10 / א / 8</val>
              </value>
              <value>
                <val>3946</val>
              </value>
              <value t="nil">
                <val>1</val>
              </value>
              <value t="str">
                <val>0684-09-03-01</val>
              </value>
              <value t="str">
                <val>תל אביב</val>
              </value>
              <value t="str">
                <val>1069,1070/09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str">
                <val>יוסף יוסף</val>
              </value>
              <value t="str">
                <val>ביקשו סימון בשדה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</val>
              </value>
              <value t="str">
                <val>כפר קאסם מבנן 7</val>
              </value>
              <value t="str">
                <val>8864, 8865</val>
              </value>
              <value t="nil">
                <val>1</val>
              </value>
              <value t="str">
                <val>43-47/2003</val>
              </value>
              <value t="str">
                <val>תל אביב</val>
              </value>
              <value t="str">
                <val>145-149/2003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173</val>
              </value>
              <value t="str">
                <val>בניה</val>
              </value>
              <value>
                <val>5020</val>
              </value>
              <value t="str">
                <val>16-26,40,41</val>
              </value>
              <value t="str">
                <val>109/2002</val>
              </value>
              <value t="str">
                <val>תל אביב</val>
              </value>
              <value t="str">
                <val>728/2002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178</val>
              </value>
              <value t="str">
                <val>קרית גת רחוב השומרון</val>
              </value>
              <value>
                <val>1832</val>
              </value>
              <value>
                <val>176</val>
              </value>
              <value t="str">
                <val>פ-5728</val>
              </value>
              <value t="str">
                <val>ירושלים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482</val>
              </value>
              <value t="str">
                <val>עפולה  יזרעאל</val>
              </value>
              <value t="str">
                <val>16709,16710,16728,16786,</val>
              </value>
              <value t="nil">
                <val>1</val>
              </value>
              <value t="str">
                <val>150-160/2002</val>
              </value>
              <value t="str">
                <val>חיפה</val>
              </value>
              <value t="str">
                <val>252-262/2003</val>
              </value>
              <value t="str">
                <val>כשר לרישום</val>
              </value>
              <value t="str">
                <val>V</val>
              </value>
              <value>
                <val>11</val>
              </value>
              <value t="str">
                <val>6 גושים  חדשים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544</val>
              </value>
              <value t="str">
                <val>גורן תצ"ר</val>
              </value>
              <value t="str">
                <val>18615, 18617</val>
              </value>
              <value t="str">
                <val xml:space="preserve">1,2,3, 8,9,10 </val>
              </value>
              <value t="str">
                <val>80-82/2001</val>
              </value>
              <value t="str">
                <val>חיפה</val>
              </value>
              <value t="str">
                <val>883-885/2001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648</val>
              </value>
              <value t="str">
                <val>תלמי יפה</val>
              </value>
              <value t="str">
                <val>2582,2583</val>
              </value>
              <value t="nil">
                <val>1</val>
              </value>
              <value t="str">
                <val>139-141/04</val>
              </value>
              <value t="str">
                <val>תל אביב</val>
              </value>
              <value t="str">
                <val>747-749/04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678</val>
              </value>
              <value t="str">
                <val>אשדוד רובע ט"ו</val>
              </value>
              <value t="str">
                <val>2003,2004,2016,2017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966-972/2002</val>
              </value>
              <value t="str">
                <val>כשר לרישום</val>
              </value>
              <value t="str">
                <val>V</val>
              </value>
              <value>
                <val>7</val>
              </value>
              <value t="str">
                <val>3 גושים חדשים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697</val>
              </value>
              <value t="str">
                <val>אור יהודה נוה רבין</val>
              </value>
              <value t="str">
                <val>6502</val>
              </value>
              <value t="str">
                <val>155 קלרה</val>
              </value>
              <value t="str">
                <val>44-52/2002</val>
              </value>
              <value t="str">
                <val>תל אביב</val>
              </value>
              <value t="str">
                <val>139-147/2002</val>
              </value>
              <value t="str">
                <val>כשר לרישום</val>
              </value>
              <value t="str">
                <val>V</val>
              </value>
              <value>
                <val>9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847</val>
              </value>
              <value t="str">
                <val>נס ציונה נס/132</val>
              </value>
              <value t="str">
                <val>3848 3750</val>
              </value>
              <value t="nil">
                <val>1</val>
              </value>
              <value t="str">
                <val>96-100/04</val>
              </value>
              <value t="str">
                <val>תל אביב</val>
              </value>
              <value t="str">
                <val>530-534/04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935</val>
              </value>
              <value t="str">
                <val>בני דרום</val>
              </value>
              <value t="str">
                <val>196,985,986</val>
              </value>
              <value t="nil">
                <val>1</val>
              </value>
              <value t="str">
                <val>237-240/2002</val>
              </value>
              <value t="str">
                <val>תל אביב</val>
              </value>
              <value t="str">
                <val>592-595/2002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10078</val>
              </value>
              <value t="str">
                <val>עינת מאפיה תצר</val>
              </value>
              <value t="str">
                <val>4779-4781</val>
              </value>
              <value t="nil">
                <val>1</val>
              </value>
              <value t="str">
                <val>308-310/2003</val>
              </value>
              <value t="str">
                <val>תל אביב</val>
              </value>
              <value t="str">
                <val>1118-1120/2003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10434</val>
              </value>
              <value t="str">
                <val>רחובות אמירי רחובות</val>
              </value>
              <value t="str">
                <val>3648</val>
              </value>
              <value t="str">
                <val>3,249</val>
              </value>
              <value t="str">
                <val>25/2002</val>
              </value>
              <value t="str">
                <val>תל אביב</val>
              </value>
              <value t="str">
                <val>357/2002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10434</val>
              </value>
              <value t="str">
                <val>רחובות אמירי רחובות</val>
              </value>
              <value t="str">
                <val>3648</val>
              </value>
              <value t="str">
                <val>[295]</val>
              </value>
              <value t="str">
                <val>312/2003</val>
              </value>
              <value t="str">
                <val>תל אביב</val>
              </value>
              <value t="str">
                <val>969/2003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10493</val>
              </value>
              <value t="str">
                <val>כפר עזה</val>
              </value>
              <value t="str">
                <val>901, 902</val>
              </value>
              <value t="str">
                <val>קטיה גרמן</val>
              </value>
              <value t="str">
                <val>13-14/2002</val>
              </value>
              <value t="str">
                <val>דרום</val>
              </value>
              <value t="str">
                <val>21-22/2003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10685</val>
              </value>
              <value t="str">
                <val>יסודות</val>
              </value>
              <value t="str">
                <val>3915</val>
              </value>
              <value t="nil">
                <val>1</val>
              </value>
              <value t="str">
                <val>52-53/06</val>
              </value>
              <value t="str">
                <val>תל אביב</val>
              </value>
              <value t="str">
                <val>321-322/2006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10729</val>
              </value>
              <value t="str">
                <val>הרצליה הר/1706 א</val>
              </value>
              <value>
                <val>6543</val>
              </value>
              <value t="str">
                <val>4-6,10,24</val>
              </value>
              <value t="str">
                <val>110/2002</val>
              </value>
              <value t="str">
                <val>תל אביב</val>
              </value>
              <value t="str">
                <val>530/2002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10931</val>
              </value>
              <value t="str">
                <val>סתריה קרית חינוך</val>
              </value>
              <value t="str">
                <val>3706,3709,3794,4752</val>
              </value>
              <value t="nil">
                <val>1</val>
              </value>
              <value t="str">
                <val>381-384/2003</val>
              </value>
              <value t="str">
                <val>תל אביב</val>
              </value>
              <value t="str">
                <val>6-9/2004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20130</val>
              </value>
              <value t="str">
                <val>גני תקוה מתחם מרגולין</val>
              </value>
              <value t="str">
                <val>6717</val>
              </value>
              <value t="nil">
                <val>1</val>
              </value>
              <value t="str">
                <val>81/2004</val>
              </value>
              <value t="str">
                <val>תל אביב</val>
              </value>
              <value t="str">
                <val>729/04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אירנה איטקיס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20184</val>
              </value>
              <value t="str">
                <val>טבריה נוף  כנרת</val>
              </value>
              <value t="str">
                <val>15051  15249</val>
              </value>
              <value t="nil">
                <val>1</val>
              </value>
              <value t="str">
                <val>196-199/2002</val>
              </value>
              <value t="str">
                <val>חיפה</val>
              </value>
              <value t="str">
                <val>491-494/2003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20330</val>
              </value>
              <value t="str">
                <val>שדרות שער הנגב</val>
              </value>
              <value t="str">
                <val>760,1888,1889,1900,1898</val>
              </value>
              <value t="nil">
                <val>1</val>
              </value>
              <value t="str">
                <val>32-37/04</val>
              </value>
              <value t="str">
                <val>דרום</val>
              </value>
              <value t="str">
                <val>569-574/04</val>
              </value>
              <value t="str">
                <val>כשר לרישום</val>
              </value>
              <value t="str">
                <val>V</val>
              </value>
              <value>
                <val>6</val>
              </value>
              <value t="str">
                <val>אלה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20350</val>
              </value>
              <value t="str">
                <val>גבעת שמואל</val>
              </value>
              <value>
                <val>6392</val>
              </value>
              <value t="str">
                <val>3,4</val>
              </value>
              <value t="str">
                <val>388/2002</val>
              </value>
              <value t="str">
                <val>תל אביב</val>
              </value>
              <value t="str">
                <val>549/2003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20525</val>
              </value>
              <value t="str">
                <val>כפר מנחם שיוך</val>
              </value>
              <value t="str">
                <val>2707</val>
              </value>
              <value t="str">
                <val>5, 7, 16, 17, 18, 22, 25, 26;</val>
              </value>
              <value t="nil">
                <val>1</val>
              </value>
              <value t="str">
                <val>דרום</val>
              </value>
              <value t="str">
                <val>1332-1333/08</val>
              </value>
              <value t="str">
                <val>מחוז</val>
              </value>
              <value t="str">
                <val>V</val>
              </value>
              <value>
                <val>2</val>
              </value>
              <value t="str">
                <val>קטי</val>
              </value>
              <value t="nil">
                <val>1</val>
              </value>
              <value t="str">
                <val>סרגי זלצמן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20587</val>
              </value>
              <value t="str">
                <val>הרצליה כביש הואדי</val>
              </value>
              <value t="str">
                <val>6590,6592 ועוד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62-66/07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20661</val>
              </value>
              <value t="str">
                <val>אחיסמך הגדולה</val>
              </value>
              <value t="nil">
                <val>1</val>
              </value>
              <value t="nil">
                <val>1</val>
              </value>
              <value t="str">
                <val>פר' 16296</val>
              </value>
              <value t="str">
                <val>תל אביב</val>
              </value>
              <value t="str">
                <val>113-122/07</val>
              </value>
              <value t="str">
                <val>כשר לרישום</val>
              </value>
              <value t="str">
                <val>V</val>
              </value>
              <value>
                <val>10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20781</val>
              </value>
              <value t="str">
                <val>גני תקוה גנים צפון</val>
              </value>
              <value t="str">
                <val>6717</val>
              </value>
              <value t="str">
                <val>35, 36, 37, 38, 39, 40, 41, 42, 43, 54, 58</val>
              </value>
              <value t="nil">
                <val>1</val>
              </value>
              <value t="str">
                <val>תל אביב</val>
              </value>
              <value t="str">
                <val>241/08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אלה</val>
              </value>
              <value t="nil">
                <val>1</val>
              </value>
              <value t="str">
                <val>אירנה איטקיס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20816</val>
              </value>
              <value t="str">
                <val>גילה תיקון תצר</val>
              </value>
              <value t="str">
                <val>28116</val>
              </value>
              <value t="nil">
                <val>1</val>
              </value>
              <value t="str">
                <val xml:space="preserve">בלינקולן מ- 07/2007 </val>
              </value>
              <value t="str">
                <val>ירושלים</val>
              </value>
              <value t="str">
                <val>984/07  1006/07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20829</val>
              </value>
              <value t="str">
                <val>תל אביב כפר שלם תיקון תצ"ר</val>
              </value>
              <value t="str">
                <val>,ואחרים6152,6130,6129,6146,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516-530/2003</val>
              </value>
              <value t="str">
                <val>כשר לרישום</val>
              </value>
              <value t="str">
                <val>V</val>
              </value>
              <value>
                <val>15</val>
              </value>
              <value t="str">
                <val>אלה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20844</val>
              </value>
              <value t="str">
                <val>ראש העין דנישרא</val>
              </value>
              <value>
                <val>5486</val>
              </value>
              <value t="str">
                <val>4   עד  15</val>
              </value>
              <value t="nil">
                <val>1</val>
              </value>
              <value t="nil">
                <val>1</val>
              </value>
              <value t="str">
                <val>01/2003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30011</val>
              </value>
              <value t="str">
                <val>כרכור טלי הורוביץ</val>
              </value>
              <value t="str">
                <val>10073</val>
              </value>
              <value t="str">
                <val>63 64 310 311 , 88</val>
              </value>
              <value t="nil">
                <val>1</val>
              </value>
              <value t="str">
                <val>חיפה</val>
              </value>
              <value t="str">
                <val>240-241/2010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30029</val>
              </value>
              <value t="str">
                <val>ירושלים הר הצופים</val>
              </value>
              <value t="str">
                <val>30000</val>
              </value>
              <value t="str">
                <val>נמסר</val>
              </value>
              <value t="str">
                <val>148,149,164/04</val>
              </value>
              <value t="str">
                <val>ירושלים</val>
              </value>
              <value t="str">
                <val>307-309/2006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30042</val>
              </value>
              <value t="str">
                <val>יד בנימין</val>
              </value>
              <value t="str">
                <val>4726,5446,4303</val>
              </value>
              <value t="nil">
                <val>1</val>
              </value>
              <value t="str">
                <val>15-21/06 פר'14503</val>
              </value>
              <value t="str">
                <val>תל אביב</val>
              </value>
              <value t="str">
                <val>355-361/06</val>
              </value>
              <value t="str">
                <val>כשר לרישום</val>
              </value>
              <value t="str">
                <val>V</val>
              </value>
              <value>
                <val>7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30044</val>
              </value>
              <value t="str">
                <val>קדרים</val>
              </value>
              <value t="str">
                <val>15527</val>
              </value>
              <value t="str">
                <val>43</val>
              </value>
              <value t="str">
                <val>214/04</val>
              </value>
              <value t="str">
                <val>חיפה</val>
              </value>
              <value t="str">
                <val>1324/2005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30258</val>
              </value>
              <value t="str">
                <val>לוד גני יער D,E</val>
              </value>
              <value t="str">
                <val>4015,4016</val>
              </value>
              <value t="nil">
                <val>1</val>
              </value>
              <value t="str">
                <val>57-59/2004</val>
              </value>
              <value t="str">
                <val>תל אביב</val>
              </value>
              <value t="str">
                <val>418-420/04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30292</val>
              </value>
              <value t="str">
                <val>חגור</val>
              </value>
              <value t="str">
                <val>8894</val>
              </value>
              <value t="str">
                <val>42</val>
              </value>
              <value t="str">
                <val>218/04</val>
              </value>
              <value t="str">
                <val>תל אביב</val>
              </value>
              <value t="str">
                <val>929/04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30308</val>
              </value>
              <value t="str">
                <val>סתריה תחנת הדלק</val>
              </value>
              <value>
                <val>3691</val>
              </value>
              <value t="str">
                <val>11,17,18</val>
              </value>
              <value t="str">
                <val>0615-09-03-01</val>
              </value>
              <value t="str">
                <val>תל אביב</val>
              </value>
              <value t="str">
                <val>966/2009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30336</val>
              </value>
              <value t="str">
                <val>שריד לולים</val>
              </value>
              <value t="str">
                <val>17414</val>
              </value>
              <value t="nil">
                <val>1</val>
              </value>
              <value t="str">
                <val>48/2004</val>
              </value>
              <value t="str">
                <val>חיפה</val>
              </value>
              <value t="str">
                <val>319/04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30355</val>
              </value>
              <value t="str">
                <val>גבעת ברנר אשדר</val>
              </value>
              <value t="str">
                <val>2634</val>
              </value>
              <value t="str">
                <val>20</val>
              </value>
              <value t="str">
                <val>31-34/06</val>
              </value>
              <value t="str">
                <val>תל אביב</val>
              </value>
              <value t="str">
                <val>244-247/06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30431</val>
              </value>
              <value t="str">
                <val>רמת השרון רש\במ\10</val>
              </value>
              <value t="str">
                <val>6415</val>
              </value>
              <value t="str">
                <val>312</val>
              </value>
              <value t="str">
                <val>88/05</val>
              </value>
              <value t="str">
                <val>תל אביב</val>
              </value>
              <value t="str">
                <val>1311/05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30433</val>
              </value>
              <value t="str">
                <val>ירושלים מורדות קרית יובל</val>
              </value>
              <value t="str">
                <val>30397</val>
              </value>
              <value t="str">
                <val>[4]</val>
              </value>
              <value t="nil">
                <val>1</val>
              </value>
              <value t="str">
                <val>ירושלים</val>
              </value>
              <value t="str">
                <val>962/08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רונית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30437</val>
              </value>
              <value t="str">
                <val>גן יבנה 102 דימרי</val>
              </value>
              <value t="str">
                <val>2768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212/07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30443</val>
              </value>
              <value t="str">
                <val>גן יבנה חפציבה</val>
              </value>
              <value t="str">
                <val>2768</val>
              </value>
              <value t="str">
                <val>27,28,29,30,31,32,41,42,43,44,, 45,46,47,48,49,50,51,52,53,54</val>
              </value>
              <value t="nil">
                <val>1</val>
              </value>
              <value t="str">
                <val>תל אביב</val>
              </value>
              <value t="str">
                <val>111/07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אנה רוזנברג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30467</val>
              </value>
              <value t="str">
                <val>אשקלון דסור</val>
              </value>
              <value t="str">
                <val>1216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131-132/07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30517</val>
              </value>
              <value t="str">
                <val>גבע שקדיה</val>
              </value>
              <value t="str">
                <val>23176,23177</val>
              </value>
              <value t="nil">
                <val>1</val>
              </value>
              <value t="str">
                <val>179-180/04</val>
              </value>
              <value t="str">
                <val>חיפה</val>
              </value>
              <value t="str">
                <val>858-859/05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30573</val>
              </value>
              <value t="str">
                <val>הרצליה הר/1960</val>
              </value>
              <value t="str">
                <val>6526 6536</val>
              </value>
              <value t="nil">
                <val>1</val>
              </value>
              <value t="str">
                <val>26-28/05</val>
              </value>
              <value t="str">
                <val>תל אביב</val>
              </value>
              <value t="str">
                <val>154-156/05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30574</val>
              </value>
              <value t="str">
                <val>גן יבנה 106 תיקון</val>
              </value>
              <value t="str">
                <val>564,547,545,544</val>
              </value>
              <value t="nil">
                <val>1</val>
              </value>
              <value t="str">
                <val>163-166/05</val>
              </value>
              <value t="str">
                <val>תל אביב</val>
              </value>
              <value t="str">
                <val>1537-1540/05  81/07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40006</val>
              </value>
              <value t="str">
                <val>חיפה חלקה 78 בגוש 10870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40019</val>
              </value>
              <value t="str">
                <val>נס ציונה חלקה 60</val>
              </value>
              <value t="str">
                <val>3751</val>
              </value>
              <value t="str">
                <val>60</val>
              </value>
              <value t="nil">
                <val>1</val>
              </value>
              <value t="str">
                <val>תל אביב</val>
              </value>
              <value t="nil">
                <val>1</val>
              </value>
              <value t="str">
                <val>נמסר למרטין וטרם נפתח תיק</val>
              </value>
              <value t="str">
                <val>בוטל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40033</val>
              </value>
              <value t="str">
                <val>בית גמליאל משבצת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לינקולן</val>
              </value>
              <value t="str">
                <val>988-1011/08</val>
              </value>
              <value t="str">
                <val>כשר לרישום</val>
              </value>
              <value t="str">
                <val>V</val>
              </value>
              <value>
                <val>24</val>
              </value>
              <value t="str">
                <val>אלה</val>
              </value>
              <value t="nil">
                <val>1</val>
              </value>
              <value t="str">
                <val>מיכאל וינשטיין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40187</val>
              </value>
              <value t="str">
                <val>אור יהודה מאא 205</val>
              </value>
              <value t="str">
                <val>7408</val>
              </value>
              <value t="str">
                <val>77,81</val>
              </value>
              <value t="str">
                <val>305-314/05</val>
              </value>
              <value t="str">
                <val>תל אביב</val>
              </value>
              <value t="str">
                <val>69-78/06</val>
              </value>
              <value t="str">
                <val>כשר לרישום</val>
              </value>
              <value t="str">
                <val>V</val>
              </value>
              <value>
                <val>10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40313</val>
              </value>
              <value t="str">
                <val>אבן שמואל</val>
              </value>
              <value t="str">
                <val xml:space="preserve"> , 2899 , 2900, 3029 , 2982</val>
              </value>
              <value t="nil">
                <val>1</val>
              </value>
              <value t="nil">
                <val>1</val>
              </value>
              <value t="str">
                <val>דרום</val>
              </value>
              <value t="str">
                <val>335-338/06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תמרה</val>
              </value>
              <value t="nil">
                <val>1</val>
              </value>
              <value t="str">
                <val>סרגי זלצמן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40317</val>
              </value>
              <value t="str">
                <val>זבדיאל</val>
              </value>
              <value t="str">
                <val>2942</val>
              </value>
              <value t="str">
                <val>47</val>
              </value>
              <value t="str">
                <val>15/06</val>
              </value>
              <value t="str">
                <val>דרום</val>
              </value>
              <value t="str">
                <val>367/06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40414</val>
              </value>
              <value t="str">
                <val>שדה צבי</val>
              </value>
              <value t="nil">
                <val>1</val>
              </value>
              <value t="nil">
                <val>1</val>
              </value>
              <value t="str">
                <val>45/06</val>
              </value>
              <value t="str">
                <val>דרום</val>
              </value>
              <value t="str">
                <val>1620/06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40440</val>
              </value>
              <value t="str">
                <val>שחר</val>
              </value>
              <value t="str">
                <val>3090,3091,3060</val>
              </value>
              <value t="nil">
                <val>1</val>
              </value>
              <value t="str">
                <val>1-3/07</val>
              </value>
              <value t="str">
                <val>דרום</val>
              </value>
              <value t="str">
                <val>485-487/07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תמרה</val>
              </value>
              <value t="nil">
                <val>1</val>
              </value>
              <value t="str">
                <val>סרגי זלצמן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40453</val>
              </value>
              <value t="str">
                <val>פסגת זאב 8150</val>
              </value>
              <value t="str">
                <val>30590</val>
              </value>
              <value t="nil">
                <val>1</val>
              </value>
              <value t="str">
                <val>17493</val>
              </value>
              <value t="str">
                <val>דוידובסקי</val>
              </value>
              <value t="str">
                <val>666-667/08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אלה</val>
              </value>
              <value t="nil">
                <val>1</val>
              </value>
              <value t="str">
                <val>דוידובסקי</val>
              </value>
              <value t="str">
                <val>נרשם בטאבו ויש מס' סופיים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40489</val>
              </value>
              <value t="str">
                <val>יהוד קרית הסביונים</val>
              </value>
              <value t="str">
                <val>6809</val>
              </value>
              <value t="str">
                <val>7,122</val>
              </value>
              <value t="str">
                <val>132/05</val>
              </value>
              <value t="str">
                <val>תל אביב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40568</val>
              </value>
              <value t="str">
                <val>כפר מנחם הרחבה</val>
              </value>
              <value t="str">
                <val>2706,2708</val>
              </value>
              <value t="nil">
                <val>1</val>
              </value>
              <value t="str">
                <val>46-48/06</val>
              </value>
              <value t="str">
                <val>דרום</val>
              </value>
              <value t="str">
                <val>1617-1619/06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40633</val>
              </value>
              <value t="str">
                <val>ירושלים הר הרצל</val>
              </value>
              <value t="str">
                <val>30345</val>
              </value>
              <value t="str">
                <val>5,2</val>
              </value>
              <value t="str">
                <val>212/2005</val>
              </value>
              <value t="str">
                <val>ירושלים</val>
              </value>
              <value t="str">
                <val>671/2006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40639</val>
              </value>
              <value t="str">
                <val>נס ציונה הוסטל</val>
              </value>
              <value t="str">
                <val>3641</val>
              </value>
              <value t="str">
                <val>57,155,368</val>
              </value>
              <value t="str">
                <val>97/06</val>
              </value>
              <value t="str">
                <val>תל אביב</val>
              </value>
              <value t="str">
                <val>658/06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40639</val>
              </value>
              <value t="str">
                <val>קרית אונו הוסטל</val>
              </value>
              <value t="str">
                <val>6490</val>
              </value>
              <value t="nil">
                <val>1</val>
              </value>
              <value t="str">
                <val>215/06</val>
              </value>
              <value t="str">
                <val>תל אביב</val>
              </value>
              <value t="str">
                <val>1114/06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40676</val>
              </value>
              <value t="str">
                <val>אשקלון מרכז נפתי</val>
              </value>
              <value t="str">
                <val>1931</val>
              </value>
              <value t="str">
                <val>69,129</val>
              </value>
              <value t="str">
                <val>328/06</val>
              </value>
              <value t="str">
                <val>תל אביב</val>
              </value>
              <value t="str">
                <val>32/07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50086</val>
              </value>
              <value t="str">
                <val>ביקורת גני יהודה</val>
              </value>
              <value t="str">
                <val>6498</val>
              </value>
              <value t="str">
                <val>210</val>
              </value>
              <value t="str">
                <val>פרויקט ביקורת מפי 13301</val>
              </value>
              <value t="nil">
                <val>1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50089</val>
              </value>
              <value t="str">
                <val>תל אביב חלקה 66</val>
              </value>
              <value t="str">
                <val>6135</val>
              </value>
              <value t="str">
                <val>66</val>
              </value>
              <value t="str">
                <val>95/06</val>
              </value>
              <value t="str">
                <val>תל אביב</val>
              </value>
              <value t="str">
                <val>593/2006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50117</val>
              </value>
              <value t="str">
                <val>טירת הכרמל</val>
              </value>
              <value t="str">
                <val>10678 , 12540</val>
              </value>
              <value t="nil">
                <val>1</val>
              </value>
              <value t="str">
                <val>112-115/07</val>
              </value>
              <value t="str">
                <val>חיפה</val>
              </value>
              <value t="str">
                <val>892-895/07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50167</val>
              </value>
              <value t="str">
                <val>אשקלון תצר אכא מילניום</val>
              </value>
              <value t="str">
                <val>1942</val>
              </value>
              <value t="str">
                <val>86,89,167</val>
              </value>
              <value t="nil">
                <val>1</val>
              </value>
              <value t="str">
                <val>תל אביב</val>
              </value>
              <value t="str">
                <val>26/09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50206</val>
              </value>
              <value t="str">
                <val>מודיעין F8</val>
              </value>
              <value t="str">
                <val>5812,5813</val>
              </value>
              <value t="nil">
                <val>1</val>
              </value>
              <value t="str">
                <val>251-254/06</val>
              </value>
              <value t="str">
                <val>תל אביב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50250</val>
              </value>
              <value t="str">
                <val>אשקלון כוכב הצפון תשלו"ז חידוש תצר</val>
              </value>
              <value t="str">
                <val>1202 1196 1201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268-271/07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50250</val>
              </value>
              <value t="str">
                <val>אשקלון מגרשי התפר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100-104/07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50254</val>
              </value>
              <value t="str">
                <val>ניר בנים תיקון גבולות</val>
              </value>
              <value t="str">
                <val>2933 2934 2936</val>
              </value>
              <value t="nil">
                <val>1</val>
              </value>
              <value t="str">
                <val xml:space="preserve">0521-09-03-01 </val>
              </value>
              <value t="str">
                <val>תל אביב</val>
              </value>
              <value t="str">
                <val>776-778/09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50274</val>
              </value>
              <value t="str">
                <val>אשקלון תיקון אורט</val>
              </value>
              <value t="str">
                <val>1932</val>
              </value>
              <value t="str">
                <val>69,[1],[2]</val>
              </value>
              <value t="str">
                <val>111/06</val>
              </value>
              <value t="str">
                <val>תל אביב</val>
              </value>
              <value t="str">
                <val>624/06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50276</val>
              </value>
              <value t="str">
                <val>כפר אחים ביקורת</val>
              </value>
              <value t="nil">
                <val>1</val>
              </value>
              <value t="nil">
                <val>1</val>
              </value>
              <value t="str">
                <val>פרויקט ביקורת מפי 14582</val>
              </value>
              <value t="nil">
                <val>1</val>
              </value>
              <value t="str">
                <val>1111-1114/05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50293</val>
              </value>
              <value t="str">
                <val>רמת גן מתחם הגפן</val>
              </value>
              <value t="str">
                <val>6205</val>
              </value>
              <value t="str">
                <val>376,377</val>
              </value>
              <value t="str">
                <val>10/06</val>
              </value>
              <value t="str">
                <val>תל אביב</val>
              </value>
              <value t="str">
                <val>243/06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50424</val>
              </value>
              <value t="str">
                <val>ג'ת תצר</val>
              </value>
              <value t="str">
                <val>8841</val>
              </value>
              <value t="str">
                <val>22,43</val>
              </value>
              <value t="nil">
                <val>1</val>
              </value>
              <value t="str">
                <val>חיפה</val>
              </value>
              <value t="str">
                <val>1346/07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אלה</val>
              </value>
              <value t="nil">
                <val>1</val>
              </value>
              <value t="str">
                <val>נינה אונגר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50445</val>
              </value>
              <value t="str">
                <val>יד בנימין יהודה רחמים</val>
              </value>
              <value t="str">
                <val>5922  5924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244-245/07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50575</val>
              </value>
              <value t="str">
                <val>חורה שכונה 17</val>
              </value>
              <value t="str">
                <val>100012/1</val>
              </value>
              <value t="str">
                <val>6</val>
              </value>
              <value t="nil">
                <val>1</val>
              </value>
              <value t="str">
                <val>דרום</val>
              </value>
              <value t="str">
                <val>732/10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סרגי זלצמן</val>
              </value>
              <value t="str">
                <val>לבקשת סרגי הוספנו מדידת מבנה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50515</val>
              </value>
              <value t="str">
                <val>פסגת זאב חלקה [904] בגוש 30613</val>
              </value>
              <value t="str">
                <val>30613</val>
              </value>
              <value t="str">
                <val>[904]</val>
              </value>
              <value t="str">
                <val>18666</val>
              </value>
              <value t="str">
                <val>ירושלים</val>
              </value>
              <value t="str">
                <val>468/09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רונית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50515</val>
              </value>
              <value t="str">
                <val>פסגת זאב הסדר</val>
              </value>
              <value t="str">
                <val xml:space="preserve">30589 </val>
              </value>
              <value t="str">
                <val>102,104,106</val>
              </value>
              <value t="nil">
                <val>1</val>
              </value>
              <value t="str">
                <val>ירושלים</val>
              </value>
              <value t="str">
                <val>810/08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50515</val>
              </value>
              <value t="str">
                <val>פסגת זאב הסדר</val>
              </value>
              <value t="str">
                <val>30587</val>
              </value>
              <value t="str">
                <val>37</val>
              </value>
              <value t="nil">
                <val>1</val>
              </value>
              <value t="str">
                <val>ירושלים</val>
              </value>
              <value t="str">
                <val>641/08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50515</val>
              </value>
              <value t="str">
                <val>פסגת זאב הסדר</val>
              </value>
              <value t="str">
                <val>31306</val>
              </value>
              <value t="str">
                <val>[278]</val>
              </value>
              <value t="nil">
                <val>1</val>
              </value>
              <value t="str">
                <val>ירושלים</val>
              </value>
              <value t="str">
                <val>695/08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אנה רוזנברג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50533</val>
              </value>
              <value t="str">
                <val>הר הצופים מוניר עזאם</val>
              </value>
              <value t="str">
                <val>30000</val>
              </value>
              <value t="str">
                <val>57</val>
              </value>
              <value t="nil">
                <val>1</val>
              </value>
              <value t="str">
                <val>ירושלים</val>
              </value>
              <value t="str">
                <val>590/07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50545</val>
              </value>
              <value t="str">
                <val>אשקלון קניון גירון</val>
              </value>
              <value t="str">
                <val>1931</val>
              </value>
              <value t="nil">
                <val>1</val>
              </value>
              <value t="str">
                <val>260/06</val>
              </value>
              <value t="str">
                <val>תל אביב</val>
              </value>
              <value t="str">
                <val>1320/06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50622</val>
              </value>
              <value t="str">
                <val>נס ציונה לב המושבה</val>
              </value>
              <value t="str">
                <val>3636 , 3641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279-285/09</val>
              </value>
              <value t="str">
                <val>כשר לרישום</val>
              </value>
              <value t="str">
                <val>V</val>
              </value>
              <value>
                <val>7</val>
              </value>
              <value t="str">
                <val>קטי</val>
              </value>
              <value t="nil">
                <val>1</val>
              </value>
              <value t="str">
                <val>מיכאל וינשטיין 
וקטיה גרמן</val>
              </value>
              <value t="str">
                <val>מסרנו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60033</val>
              </value>
              <value t="str">
                <val>נס ציונה נס/132/א/6</val>
              </value>
              <value t="str">
                <val>3750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89/07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60206</val>
              </value>
              <value t="str">
                <val>רמת בית שמש ביקורת תצר</val>
              </value>
              <value t="nil">
                <val>1</val>
              </value>
              <value t="nil">
                <val>1</val>
              </value>
              <value t="str">
                <val>פרויקט 15316</val>
              </value>
              <value t="nil">
                <val>1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60239</val>
              </value>
              <value t="str">
                <val>מודיעין F3 תצר</val>
              </value>
              <value t="str">
                <val>5812</val>
              </value>
              <value t="str">
                <val>4,5</val>
              </value>
              <value t="nil">
                <val>1</val>
              </value>
              <value t="str">
                <val>תל אביב</val>
              </value>
              <value t="str">
                <val>212/08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60274</val>
              </value>
              <value t="str">
                <val>ראש העין תצר חלקה 88 גוש 5486</val>
              </value>
              <value t="str">
                <val>5486</val>
              </value>
              <value t="str">
                <val>88</val>
              </value>
              <value t="nil">
                <val>1</val>
              </value>
              <value t="str">
                <val>תל אביב</val>
              </value>
              <value t="str">
                <val>70/07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60280</val>
              </value>
              <value t="str">
                <val>פסגת זאב 7928</val>
              </value>
              <value t="str">
                <val>30587</val>
              </value>
              <value t="str">
                <val>66,67, 110</val>
              </value>
              <value t="nil">
                <val>1</val>
              </value>
              <value t="str">
                <val>דוידובסקי</val>
              </value>
              <value t="str">
                <val>1084/07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נרשם בטאבו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60280</val>
              </value>
              <value t="str">
                <val>פסגת זאב 7928</val>
              </value>
              <value t="str">
                <val>30589</val>
              </value>
              <value t="str">
                <val>84,90</val>
              </value>
              <value t="nil">
                <val>1</val>
              </value>
              <value t="str">
                <val>דוידובסקי</val>
              </value>
              <value t="str">
                <val>1082/07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נרשם בטאבו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70122</val>
              </value>
              <value t="str">
                <val>בית ניר שיוך והרחבה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דרום</val>
              </value>
              <value t="str">
                <val>180-186/2010</val>
              </value>
              <value t="str">
                <val>כשר לרישום</val>
              </value>
              <value t="str">
                <val>V</val>
              </value>
              <value>
                <val>7</val>
              </value>
              <value t="str">
                <val>נטלי</val>
              </value>
              <value t="nil">
                <val>1</val>
              </value>
              <value t="str">
                <val>סרגי זלצמן ביקש קבצי PLT  עם חתימה אלקטרונית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60321</val>
              </value>
              <value t="str">
                <val>ת"א שוק בצלאל</val>
              </value>
              <value t="str">
                <val>6912</val>
              </value>
              <value t="str">
                <val>7-29</val>
              </value>
              <value t="nil">
                <val>1</val>
              </value>
              <value t="str">
                <val>תל אביב</val>
              </value>
              <value t="str">
                <val>103/08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מיכאל וינשטיין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100522</val>
              </value>
              <value t="str">
                <val>בית דגן הרחבה יהל</val>
              </value>
              <value t="str">
                <val>6076 6075 6081 6080 7387</val>
              </value>
              <value t="str">
                <val>שונות</val>
              </value>
              <value t="str">
                <val>0973-12-03-01</val>
              </value>
              <value t="str">
                <val>תל אביב</val>
              </value>
              <value t="str">
                <val>1494-1498/2012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str">
                <val>תמרה</val>
              </value>
              <value t="nil">
                <val>1</val>
              </value>
              <value t="str">
                <val>נועה אהרונוב</val>
              </value>
              <value t="str">
                <val>שלחנו קבצים ותיק חישובים לריסה ביקשה פגישה . ישבתי בתאריך 17.1.2013  עם לריסה ויפתח תיק .שלחנו מיילרים .היום תקבל מייל ממני.אגרה סופית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80018</val>
              </value>
              <value t="str">
                <val>תל אביב בית אל מתחם שץ</val>
              </value>
              <value t="str">
                <val>7321</val>
              </value>
              <value t="str">
                <val>69,70</val>
              </value>
              <value t="str">
                <val>397-12-03-01</val>
              </value>
              <value t="str">
                <val>תל אביב</val>
              </value>
              <value t="str">
                <val>599/2012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ויקה</val>
              </value>
              <value t="str">
                <val>שלחו לאסנת צק חדש . פתחו תיק .ויקה ביקשה קשירות
מחכים לתשובה מויקה
הסתיים. היום תקבל מייל ממני. אגרה סופית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40669</val>
              </value>
              <value t="str">
                <val>רמת השרון מק-1000</val>
              </value>
              <value t="str">
                <val>שונים</val>
              </value>
              <value t="nil">
                <val>1</val>
              </value>
              <value t="str">
                <val>0082-13-03-01</val>
              </value>
              <value t="str">
                <val>תל אביב</val>
              </value>
              <value t="str">
                <val>103-109/2013</val>
              </value>
              <value t="str">
                <val>כשר לרישום</val>
              </value>
              <value t="str">
                <val>V</val>
              </value>
              <value>
                <val>7</val>
              </value>
              <value t="str">
                <val>קטי+תמרה</val>
              </value>
              <value t="nil">
                <val>1</val>
              </value>
              <value t="str">
                <val>נועה אהרונוב</val>
              </value>
              <value t="str">
                <val>שלחנו קבצים .והם תקינים .שלחנו מיילרים 19.5.2013 .
לריסה תחתום בקרוב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50501</val>
              </value>
              <value t="str">
                <val>גני טל חפץ חיים</val>
              </value>
              <value t="str">
                <val>4728,4729,5447,5450,5449,5448,</val>
              </value>
              <value t="nil">
                <val>1</val>
              </value>
              <value t="str">
                <val>0344-10-03-01</val>
              </value>
              <value t="str">
                <val>תל אביב</val>
              </value>
              <value t="str">
                <val>427-435/10</val>
              </value>
              <value t="str">
                <val>כשר לרישום</val>
              </value>
              <value t="str">
                <val>V</val>
              </value>
              <value>
                <val>9</val>
              </value>
              <value t="str">
                <val>אירה</val>
              </value>
              <value t="nil">
                <val>1</val>
              </value>
              <value t="str">
                <val>קטיה גרמן</val>
              </value>
              <value t="str">
                <val xml:space="preserve">מסרתי לקטיה תיק חישובים חדש ב- 7.5.2013 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60359</val>
              </value>
              <value t="str">
                <val>דלית אל כרמל רפרצלציה</val>
              </value>
              <value t="str">
                <val>11502,11504,11506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str">
                <val>1347-1352/07</val>
              </value>
              <value t="str">
                <val>כשר לרישום</val>
              </value>
              <value t="str">
                <val>V</val>
              </value>
              <value>
                <val>6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60384</val>
              </value>
              <value t="str">
                <val>מולדת מכרז ממי</val>
              </value>
              <value t="str">
                <val>23212,23213,23214,23211,23280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str">
                <val>960-965/09</val>
              </value>
              <value t="str">
                <val>כשר לרישום</val>
              </value>
              <value t="str">
                <val>V</val>
              </value>
              <value>
                <val>6</val>
              </value>
              <value t="str">
                <val>קטי</val>
              </value>
              <value t="nil">
                <val>1</val>
              </value>
              <value t="str">
                <val>נינה אונגר</val>
              </value>
              <value t="str">
                <val>מדידה קרקעית נוספת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60394</val>
              </value>
              <value t="str">
                <val>אשקלון פסגת ברנע</val>
              </value>
              <value t="str">
                <val>1934</val>
              </value>
              <value t="str">
                <val>259, 258, 257, 248, 247, 246, 245, 244, 243, 242, 241, 240, 239, 238, 237, 229, 228, 227, 195, 194, 184, 183, 182, 172, 171, 170, 169, 168, 149, 148, 147, 146, 145, 144, 143, 142;</val>
              </value>
              <value t="nil">
                <val>1</val>
              </value>
              <value t="str">
                <val>תל אביב</val>
              </value>
              <value t="str">
                <val>153/08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60496</val>
              </value>
              <value t="str">
                <val>הר חומה ביקורת תצר</val>
              </value>
              <value t="nil">
                <val>1</val>
              </value>
              <value t="nil">
                <val>1</val>
              </value>
              <value t="str">
                <val>פרויקט 16022</val>
              </value>
              <value t="nil">
                <val>1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60618</val>
              </value>
              <value t="str">
                <val>נס ציונה תבע אברהם פניק נס/151</val>
              </value>
              <value t="str">
                <val>3751</val>
              </value>
              <value t="str">
                <val>3</val>
              </value>
              <value t="nil">
                <val>1</val>
              </value>
              <value t="str">
                <val>תל אביב</val>
              </value>
              <value t="str">
                <val>9/08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60672</val>
              </value>
              <value t="str">
                <val>ניר גלים הרחבה</val>
              </value>
              <value t="str">
                <val>197 ,  463,464</val>
              </value>
              <value t="str">
                <val>48,49</val>
              </value>
              <value t="nil">
                <val>1</val>
              </value>
              <value t="str">
                <val>תל אביב</val>
              </value>
              <value t="str">
                <val>172-175/08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קטי</val>
              </value>
              <value t="nil">
                <val>1</val>
              </value>
              <value t="str">
                <val>מיכאל וינשטיין</val>
              </value>
              <value t="str">
                <val>רוצים עידכון פוטו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60678</val>
              </value>
              <value t="str">
                <val>פתח תקוה תבע 1255</val>
              </value>
              <value t="str">
                <val>4043</val>
              </value>
              <value t="str">
                <val>2,3</val>
              </value>
              <value t="nil">
                <val>1</val>
              </value>
              <value t="str">
                <val>תל אביב</val>
              </value>
              <value t="str">
                <val>225/07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70011</val>
              </value>
              <value t="str">
                <val>גיבתון</val>
              </value>
              <value t="str">
                <val>3657  3679  2645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85-89/08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str">
                <val>נטלי</val>
              </value>
              <value t="nil">
                <val>1</val>
              </value>
              <value t="str">
                <val>מיכאל וינשטיין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70112</val>
              </value>
              <value t="str">
                <val>נס ציונה  נס/מק/208</val>
              </value>
              <value t="str">
                <val>3637</val>
              </value>
              <value t="str">
                <val>769</val>
              </value>
              <value t="nil">
                <val>1</val>
              </value>
              <value t="str">
                <val>תל אביב</val>
              </value>
              <value t="str">
                <val>82/08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מיכאל וינשטיין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70146</val>
              </value>
              <value t="str">
                <val>נחלים הרחבה</val>
              </value>
              <value t="str">
                <val>6811  6814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111-114/09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str">
                <val>קטי</val>
              </value>
              <value t="nil">
                <val>1</val>
              </value>
              <value t="str">
                <val>מיכאל וינשטיין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70332</val>
              </value>
              <value t="str">
                <val>בית לחם ביקורת תצר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לינקולן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70343</val>
              </value>
              <value t="str">
                <val>נס ציונה גני מרויאס;</val>
              </value>
              <value t="str">
                <val>3754</val>
              </value>
              <value t="str">
                <val>32</val>
              </value>
              <value t="nil">
                <val>1</val>
              </value>
              <value t="str">
                <val>תל אביב</val>
              </value>
              <value t="str">
                <val>46/08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70390</val>
              </value>
              <value t="str">
                <val>אשקלון מלון דגון זהבית</val>
              </value>
              <value t="str">
                <val>1958,1941,1940</val>
              </value>
              <value t="nil">
                <val>1</val>
              </value>
              <value t="str">
                <val xml:space="preserve">0450-09-03-01 </val>
              </value>
              <value t="str">
                <val>תל אביב</val>
              </value>
              <value t="str">
                <val>668-670/09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70418</val>
              </value>
              <value t="str">
                <val>נס ציונה נס/132/א/5</val>
              </value>
              <value t="str">
                <val>3750</val>
              </value>
              <value t="str">
                <val>327, 328, 333, 334, 335, 338</val>
              </value>
              <value t="nil">
                <val>1</val>
              </value>
              <value t="str">
                <val>תל אביב</val>
              </value>
              <value t="str">
                <val>222-223/08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str">
                <val>לריסה רייזמן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70419</val>
              </value>
              <value t="str">
                <val>תל יצחק אחוזת פולג</val>
              </value>
              <value>
                <val>8971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471-472/09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str">
                <val>אירנה איטקיס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70470</val>
              </value>
              <value t="str">
                <val>יד בנימין</val>
              </value>
              <value t="str">
                <val>5446,4726,4303,5984,</val>
              </value>
              <value t="nil">
                <val>1</val>
              </value>
              <value t="str">
                <val xml:space="preserve">352-09-03-01 </val>
              </value>
              <value t="str">
                <val>תל אביב</val>
              </value>
              <value t="str">
                <val>534-543/09</val>
              </value>
              <value t="str">
                <val>כשר לרישום</val>
              </value>
              <value t="str">
                <val>V</val>
              </value>
              <value>
                <val>10</val>
              </value>
              <value t="str">
                <val>אלה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70559</val>
              </value>
              <value t="str">
                <val>כפר קאסם מבנן 7 תצר מחדש</val>
              </value>
              <value t="str">
                <val>8864 8865 8948</val>
              </value>
              <value t="nil">
                <val>1</val>
              </value>
              <value t="nil">
                <val>1</val>
              </value>
              <value t="str">
                <val>תל אביב</val>
              </value>
              <value t="str">
                <val>68-83/09</val>
              </value>
              <value t="str">
                <val>כשר לרישום</val>
              </value>
              <value t="str">
                <val>V</val>
              </value>
              <value>
                <val>16</val>
              </value>
              <value t="str">
                <val>תמרה</val>
              </value>
              <value t="nil">
                <val>1</val>
              </value>
              <value t="str">
                <val>אירנה איטקיס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60293</val>
              </value>
              <value t="str">
                <val>יסודות נצר חזני תצר</val>
              </value>
              <value t="str">
                <val>שונים</val>
              </value>
              <value t="nil">
                <val>1</val>
              </value>
              <value t="str">
                <val xml:space="preserve"> 0527-09-03-01-</val>
              </value>
              <value t="str">
                <val>תל אביב</val>
              </value>
              <value t="str">
                <val>784-796/09</val>
              </value>
              <value t="str">
                <val>כשר לרישום</val>
              </value>
              <value t="str">
                <val>V</val>
              </value>
              <value>
                <val>13</val>
              </value>
              <value t="str">
                <val>אלה</val>
              </value>
              <value t="nil">
                <val>1</val>
              </value>
              <value t="nil">
                <val>1</val>
              </value>
              <value t="str">
                <val>מסרנו נייר לבן , אירנה בודקת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90437</val>
              </value>
              <value t="str">
                <val>ראשון לציון, תצ"ר ע"פ תב"ע רצ/16/3/2/1</val>
              </value>
              <value t="str">
                <val>4746 , 7282</val>
              </value>
              <value t="nil">
                <val>1</val>
              </value>
              <value t="str">
                <val>0956-10-03-01</val>
              </value>
              <value t="str">
                <val>תל אביב</val>
              </value>
              <value t="str">
                <val>1228-1229/2010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str">
                <val>אנה רוזנברג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70420</val>
              </value>
              <value t="str">
                <val>לוד צעלוק</val>
              </value>
              <value t="str">
                <val>3958 שומה</val>
              </value>
              <value t="str">
                <val>208 ,209</val>
              </value>
              <value t="str">
                <val>0957-10-03-01</val>
              </value>
              <value t="str">
                <val>תל אביב</val>
              </value>
              <value t="str">
                <val>1230/2010</val>
              </value>
              <value t="str">
                <val>בהמתנה להסדר</val>
              </value>
              <value t="str">
                <val>בהמתנה להסדר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אירנה איטקיס</val>
              </value>
              <value t="str">
                <val>מסרנו מיילרים,מחכים לפקידת ההסדר . כנראה יוטמע בגיליון השדה שבהכנה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60040</val>
              </value>
              <value t="str">
                <val>אשקלון מתחם 59</val>
              </value>
              <value t="str">
                <val>2870 , 1941</val>
              </value>
              <value t="str">
                <val>שונות</val>
              </value>
              <value t="str">
                <val>1029-10-03-01</val>
              </value>
              <value t="str">
                <val>תל אביב</val>
              </value>
              <value t="str">
                <val>1324-1325/2010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str">
                <val>קטיה גרמן</val>
              </value>
              <value t="str">
                <val>ביקשתי פגישה עם ורה לבן.
הוספנו מדידה , עידכנו את החלוקה .
נשלח לקטיה גרמן , ישבתי ב- 7.5.2013 עם קטיה .קטיה ביקשה מיילרים
הלקוח טרם שילם את סיום האגרה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40574</val>
              </value>
              <value t="str">
                <val>תל אביב נמל יפו  
תב"ע 2378א</val>
              </value>
              <value t="str">
                <val>7426,7086,7259,7086</val>
              </value>
              <value t="nil">
                <val>1</val>
              </value>
              <value t="str">
                <val>0280-11-03-01</val>
              </value>
              <value t="str">
                <val>תל אביב</val>
              </value>
              <value t="str">
                <val>372-375/2011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תמרה</val>
              </value>
              <value t="nil">
                <val>1</val>
              </value>
              <value t="str">
                <val>אנה רוזנברג</val>
              </value>
              <value t="str">
                <val>מחכים לאישור למרות חוסר ההתאמה לגושי ההסדר החדשים - שלחנו קבצים ב 14.4.2013 אחרי שמפ"י תיקנו את הגוש הגובל .שלחנו פרשה טכנית מעודכנת .
שלחנו מיילרים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100810</val>
              </value>
              <value t="str">
                <val>תל אביב שכונת הארגזים</val>
              </value>
              <value t="str">
                <val>6137 , 6136</val>
              </value>
              <value t="str">
                <val>שונות</val>
              </value>
              <value t="str">
                <val>0791-12-03-01</val>
              </value>
              <value t="str">
                <val>תל אביב</val>
              </value>
              <value t="str">
                <val>1196-1198/2012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נטלי</val>
              </value>
              <value t="nil">
                <val>1</val>
              </value>
              <value t="str">
                <val>קטיה גרמן</val>
              </value>
              <value t="str">
                <val>לריסה ביקשה הבהרות . ישבתי בתאריך 17.1.2013  עם לריסה  יש תיקונים .מסרתי שוב ב 5.2.2013 העברנו  מיילרים - כי שלחו לפע"מ .במגרה של איתמר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70278</val>
              </value>
              <value t="str">
                <val>כפר סבא מצלאווי</val>
              </value>
              <value t="str">
                <val>6426</val>
              </value>
              <value t="str">
                <val>567</val>
              </value>
              <value t="str">
                <val>1031-10-03-01</val>
              </value>
              <value t="str">
                <val>תל אביב</val>
              </value>
              <value t="str">
                <val>1329/2010 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מסרנו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80234</val>
              </value>
              <value t="str">
                <val>בית חילקיה  הרחבה</val>
              </value>
              <value t="str">
                <val>4726 , 4728</val>
              </value>
              <value t="nil">
                <val>1</val>
              </value>
              <value t="str">
                <val xml:space="preserve">0210-09-03-01 </val>
              </value>
              <value t="str">
                <val>תל אביב</val>
              </value>
              <value t="str">
                <val>312-313/09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מסרנו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80443</val>
              </value>
              <value t="str">
                <val>רמלה תצר גאודע</val>
              </value>
              <value t="str">
                <val>4354,7190,4724,5992</val>
              </value>
              <value t="nil">
                <val>1</val>
              </value>
              <value t="str">
                <val>0683-09-03-01</val>
              </value>
              <value t="str">
                <val>תל אביב</val>
              </value>
              <value t="str">
                <val>1065-1068/09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str">
                <val>ביקורת קבצים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80474</val>
              </value>
              <value t="str">
                <val>פסגת זאב חלקה 49 בגוש 30589</val>
              </value>
              <value t="str">
                <val>30589</val>
              </value>
              <value t="str">
                <val>49</val>
              </value>
              <value t="str">
                <val>18439</val>
              </value>
              <value t="str">
                <val>ירושלים</val>
              </value>
              <value t="str">
                <val>173/09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רונית ביקשה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80637</val>
              </value>
              <value t="str">
                <val>פסגת זאב דרום מזרח</val>
              </value>
              <value t="str">
                <val>30591</val>
              </value>
              <value t="str">
                <val>[912]</val>
              </value>
              <value t="nil">
                <val>1</val>
              </value>
              <value t="str">
                <val>ירושלים</val>
              </value>
              <value t="str">
                <val>התצר בוטל</val>
              </value>
              <value t="str">
                <val>התצר בוטל</val>
              </value>
              <value t="str">
                <val>בוטל</val>
              </value>
              <value>
                <val>0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80637</val>
              </value>
              <value t="str">
                <val>פסגת זאב דרום מזרח ומערב</val>
              </value>
              <value t="str">
                <val>7_R30591_A 8_R30591_B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1294-1303/09</val>
              </value>
              <value t="str">
                <val>מחוז</val>
              </value>
              <value t="str">
                <val>V</val>
              </value>
              <value>
                <val>10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str">
                <val>שלחנו תיקון לאליפסות 1300-1301/09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80637</val>
              </value>
              <value t="str">
                <val>פסגת זאב דרום מזרח ומערב</val>
              </value>
              <value t="str">
                <val>7_R30591_A 8_R30591_B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1300-1301/09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קטי</val>
              </value>
              <value t="nil">
                <val>1</val>
              </value>
              <value t="str">
                <val>מיכאל וינשטיין</val>
              </value>
              <value t="str">
                <val>שלחנו תיקון לאליפסות 1300-1301/09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80736</val>
              </value>
              <value t="str">
                <val>נתניה מקבץ דיור</val>
              </value>
              <value>
                <val>8266</val>
              </value>
              <value t="str">
                <val>8,9,12,13</val>
              </value>
              <value t="str">
                <val>0202-09-03-01</val>
              </value>
              <value t="str">
                <val>תל אביב</val>
              </value>
              <value t="str">
                <val>294/2009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90005</val>
              </value>
              <value t="str">
                <val>פסגת זאב תצר לתשצים  5-53-7 ,5-53-10</val>
              </value>
              <value t="str">
                <val>31304</val>
              </value>
              <value t="str">
                <val>2</val>
              </value>
              <value t="str">
                <val>0608-09-04-01</val>
              </value>
              <value t="str">
                <val>ירושלים</val>
              </value>
              <value t="str">
                <val>940/09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str">
                <val>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90005</val>
              </value>
              <value t="str">
                <val>פסגת זאב תצר לתשצים  5-53-7 ,5-53-10</val>
              </value>
              <value t="str">
                <val>31304</val>
              </value>
              <value t="str">
                <val>3</val>
              </value>
              <value t="str">
                <val>0609-09-04-01</val>
              </value>
              <value t="str">
                <val>ירושלים</val>
              </value>
              <value t="str">
                <val>941/09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str">
                <val>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90012</val>
              </value>
              <value t="str">
                <val>ירושלים בית יואל</val>
              </value>
              <value t="str">
                <val>30035 שומה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836/2010</val>
              </value>
              <value t="str">
                <val>מחוז</val>
              </value>
              <value t="str">
                <val>בוטל</val>
              </value>
              <value>
                <val>1</val>
              </value>
              <value t="str">
                <val>קטי</val>
              </value>
              <value t="nil">
                <val>1</val>
              </value>
              <value t="str">
                <val>רונית</val>
              </value>
              <value t="str">
                <val>שלחו הערות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90392</val>
              </value>
              <value t="str">
                <val>צור הדסה ב יאיר</val>
              </value>
              <value t="str">
                <val>29877</val>
              </value>
              <value t="str">
                <val>112-115</val>
              </value>
              <value t="str">
                <val>20709</val>
              </value>
              <value t="str">
                <val>ירושלים</val>
              </value>
              <value t="str">
                <val>392/2011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אצל רונית אחרי שדה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90013</val>
              </value>
              <value t="str">
                <val>שורש מלון</val>
              </value>
              <value t="str">
                <val>29706</val>
              </value>
              <value t="str">
                <val>11,13,30</val>
              </value>
              <value t="str">
                <val>351-10-04-01</val>
              </value>
              <value t="str">
                <val>ירושלים</val>
              </value>
              <value t="str">
                <val>442/10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קטי</val>
              </value>
              <value t="nil">
                <val>1</val>
              </value>
              <value t="str">
                <val>רונית</val>
              </value>
              <value t="str">
                <val>מסרנו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90208</val>
              </value>
              <value t="str">
                <val>רהט דרום מתחם 2</val>
              </value>
              <value t="str">
                <val>100226/3</val>
              </value>
              <value t="str">
                <val>[13],[16]</val>
              </value>
              <value t="nil">
                <val>1</val>
              </value>
              <value t="str">
                <val>דרום</val>
              </value>
              <value t="str">
                <val>295-299/10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968002</val>
              </value>
              <value t="str">
                <val>רמת גן כנפי נשרים</val>
              </value>
              <value>
                <val>6157</val>
              </value>
              <value t="str">
                <val>12, 84,...</val>
              </value>
              <value t="str">
                <val>95/2001</val>
              </value>
              <value t="str">
                <val>תל אביב</val>
              </value>
              <value t="str">
                <val>335/2001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969039</val>
              </value>
              <value t="str">
                <val>אשקלון</val>
              </value>
              <value t="str">
                <val>1941, 1938</val>
              </value>
              <value t="nil">
                <val>1</val>
              </value>
              <value t="str">
                <val>49-50/99</val>
              </value>
              <value t="str">
                <val>תל אביב</val>
              </value>
              <value t="str">
                <val>123-124/99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969039</val>
              </value>
              <value t="str">
                <val>אשקלון</val>
              </value>
              <value>
                <val>1942</val>
              </value>
              <value>
                <val>138</val>
              </value>
              <value t="str">
                <val>19/99</val>
              </value>
              <value t="str">
                <val>תל אביב</val>
              </value>
              <value t="str">
                <val>89/99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969144</val>
              </value>
              <value t="str">
                <val>צהלה דרום ב' 1836</val>
              </value>
              <value t="str">
                <val>6336, 6224</val>
              </value>
              <value t="str">
                <val>300, 15</val>
              </value>
              <value t="str">
                <val>110/98</val>
              </value>
              <value t="str">
                <val>תל אביב</val>
              </value>
              <value t="str">
                <val>461/98 (6336), 462/98 (6224)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969186</val>
              </value>
              <value t="str">
                <val>יפו ד'</val>
              </value>
              <value t="str">
                <val>6999, 7050, 7048</val>
              </value>
              <value t="nil">
                <val>1</val>
              </value>
              <value t="str">
                <val>183-185/2000</val>
              </value>
              <value t="str">
                <val>תל אביב</val>
              </value>
              <value t="str">
                <val>875-877/2000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969413</val>
              </value>
              <value t="str">
                <val>חיפה תש"צ 5</val>
              </value>
              <value>
                <val>10870</val>
              </value>
              <value>
                <val>48</val>
              </value>
              <value t="str">
                <val>42/2001</val>
              </value>
              <value t="str">
                <val>חיפה</val>
              </value>
              <value t="str">
                <val>459/2001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969413</val>
              </value>
              <value t="str">
                <val>חיפה לאון בלום</val>
              </value>
              <value>
                <val>10870</val>
              </value>
              <value t="str">
                <val>[4]</val>
              </value>
              <value t="str">
                <val>33/2002</val>
              </value>
              <value t="str">
                <val>חיפה</val>
              </value>
              <value t="str">
                <val>552/2002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969414</val>
              </value>
              <value t="str">
                <val>קרית ביאליק</val>
              </value>
              <value>
                <val>10446</val>
              </value>
              <value t="str">
                <val>92,89</val>
              </value>
              <value t="str">
                <val>38/2000</val>
              </value>
              <value t="str">
                <val>חיפה</val>
              </value>
              <value t="str">
                <val>584/2000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971003</val>
              </value>
              <value t="str">
                <val>רמת השרון המחתרות</val>
              </value>
              <value>
                <val>6599</val>
              </value>
              <value t="str">
                <val>658-723</val>
              </value>
              <value t="nil">
                <val>1</val>
              </value>
              <value t="str">
                <val>תל אביב</val>
              </value>
              <value t="str">
                <val>111-112/2000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971192</val>
              </value>
              <value t="str">
                <val>מתחם לינקולן</val>
              </value>
              <value>
                <val>7103</val>
              </value>
              <value>
                <val>112</val>
              </value>
              <value t="str">
                <val>203-205/99</val>
              </value>
              <value t="str">
                <val>תל אביב</val>
              </value>
              <value t="str">
                <val>671-673/2000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971346</val>
              </value>
              <value t="str">
                <val>קרית גת</val>
              </value>
              <value>
                <val>1832</val>
              </value>
              <value t="str">
                <val>21,20</val>
              </value>
              <value t="str">
                <val>23-24/2000</val>
              </value>
              <value t="str">
                <val>דרום</val>
              </value>
              <value t="str">
                <val>1005-1006/2000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971352</val>
              </value>
              <value t="str">
                <val>נהורה</val>
              </value>
              <value t="str">
                <val>1322, 1323</val>
              </value>
              <value t="str">
                <val>26,44, 1,2,3</val>
              </value>
              <value t="str">
                <val>4-9/2001 פרויקט 7648</val>
              </value>
              <value t="str">
                <val>דרום</val>
              </value>
              <value t="str">
                <val>732-737/2002</val>
              </value>
              <value t="str">
                <val>כשר לרישום</val>
              </value>
              <value t="str">
                <val>V</val>
              </value>
              <value>
                <val>6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971523</val>
              </value>
              <value t="str">
                <val>אשקלון כוכב הצפון תשלו"ז</val>
              </value>
              <value t="str">
                <val>1201, 1206, 1296, 1202</val>
              </value>
              <value t="str">
                <val>2-4… ,28 ,93,94,17</val>
              </value>
              <value t="str">
                <val>264-268/2000</val>
              </value>
              <value t="str">
                <val>תל אביב</val>
              </value>
              <value t="str">
                <val>1183/2000, 1187/2000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971860</val>
              </value>
              <value t="str">
                <val>נס ציונה נס/119</val>
              </value>
              <value t="str">
                <val>3750, 3754, 3853</val>
              </value>
              <value t="str">
                <val>36,61,62</val>
              </value>
              <value t="str">
                <val>48-50/2001</val>
              </value>
              <value t="str">
                <val>תל אביב</val>
              </value>
              <value t="str">
                <val>15-17/2002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971938</val>
              </value>
              <value t="str">
                <val>אשקלון מתחם אורט</val>
              </value>
              <value t="str">
                <val>1932 ,1942</val>
              </value>
              <value t="nil">
                <val>1</val>
              </value>
              <value t="str">
                <val>306-307/2003</val>
              </value>
              <value t="str">
                <val>תל אביב</val>
              </value>
              <value t="str">
                <val>98-99/04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980022</val>
              </value>
              <value t="str">
                <val>תל אביב כוכב הצפון</val>
              </value>
              <value t="str">
                <val>6634, 6635, 6648, 6798</val>
              </value>
              <value t="str">
                <val>13, 13, 11, 3</val>
              </value>
              <value t="str">
                <val>256-261/2000</val>
              </value>
              <value t="str">
                <val>תל אביב</val>
              </value>
              <value t="str">
                <val>1175-1180/2000</val>
              </value>
              <value t="str">
                <val>כשר לרישום</val>
              </value>
              <value t="str">
                <val>V</val>
              </value>
              <value>
                <val>6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980091</val>
              </value>
              <value t="str">
                <val>נאות אחוה</val>
              </value>
              <value t="str">
                <val>2720</val>
              </value>
              <value t="nil">
                <val>1</val>
              </value>
              <value t="str">
                <val>327-328/04</val>
              </value>
              <value t="str">
                <val>תל אביב</val>
              </value>
              <value t="str">
                <val>1527-1528/04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980128</val>
              </value>
              <value t="str">
                <val>תימורים</val>
              </value>
              <value>
                <val>2731</val>
              </value>
              <value t="str">
                <val>23,2</val>
              </value>
              <value t="str">
                <val>140-141/2000</val>
              </value>
              <value t="str">
                <val>תל אביב</val>
              </value>
              <value t="str">
                <val>695-696/2000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980136</val>
              </value>
              <value t="str">
                <val>בת – ים קחטן</val>
              </value>
              <value>
                <val>7129</val>
              </value>
              <value>
                <val>95</val>
              </value>
              <value t="str">
                <val>90/2000</val>
              </value>
              <value t="str">
                <val>תל אביב</val>
              </value>
              <value t="str">
                <val>986/2000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980137</val>
              </value>
              <value t="str">
                <val>אשדוד קחטן</val>
              </value>
              <value>
                <val>2189</val>
              </value>
              <value>
                <val>16</val>
              </value>
              <value t="str">
                <val>89/2000</val>
              </value>
              <value t="str">
                <val>תל אביב</val>
              </value>
              <value t="str">
                <val>670/2000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980141</val>
              </value>
              <value t="str">
                <val>בת הדר</val>
              </value>
              <value t="str">
                <val>1448, 2574</val>
              </value>
              <value t="str">
                <val>5-8</val>
              </value>
              <value t="str">
                <val>237/2000, 240/2000</val>
              </value>
              <value t="str">
                <val>תל אביב</val>
              </value>
              <value t="str">
                <val>1166/2000 - 1169/2000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980141</val>
              </value>
              <value t="str">
                <val>בת הדר</val>
              </value>
              <value t="str">
                <val>2601</val>
              </value>
              <value t="str">
                <val>6,13,17</val>
              </value>
              <value t="str">
                <val>42/2002</val>
              </value>
              <value t="str">
                <val>תל אביב</val>
              </value>
              <value t="str">
                <val>110/2002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980183</val>
              </value>
              <value t="str">
                <val>גילה רובינשטיין</val>
              </value>
              <value>
                <val>28046</val>
              </value>
              <value>
                <val>48</val>
              </value>
              <value t="str">
                <val>כשר לרישום</val>
              </value>
              <value t="str">
                <val>ירושלים</val>
              </value>
              <value t="str">
                <val>230/00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980262</val>
              </value>
              <value t="str">
                <val>ירקונה הרחבה</val>
              </value>
              <value t="str">
                <val>6449</val>
              </value>
              <value t="str">
                <val>23,24</val>
              </value>
              <value t="str">
                <val>296/2000</val>
              </value>
              <value t="str">
                <val>תל אביב</val>
              </value>
              <value t="str">
                <val>135/2001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980435</val>
              </value>
              <value t="str">
                <val>חיפה יזרעאליה</val>
              </value>
              <value t="str">
                <val xml:space="preserve">  10881 10922</val>
              </value>
              <value t="str">
                <val>20         22,23</val>
              </value>
              <value t="str">
                <val>19-20/2000</val>
              </value>
              <value t="str">
                <val>חיפה</val>
              </value>
              <value t="str">
                <val>582-583/2000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980451</val>
              </value>
              <value t="str">
                <val>צומת כנות</val>
              </value>
              <value t="str">
                <val>4990</val>
              </value>
              <value t="str">
                <val>14</val>
              </value>
              <value t="str">
                <val>83/2002</val>
              </value>
              <value t="str">
                <val>תל אביב</val>
              </value>
              <value t="str">
                <val>442/02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980630</val>
              </value>
              <value t="str">
                <val>צהלה מנרב</val>
              </value>
              <value>
                <val>6624</val>
              </value>
              <value t="str">
                <val>[101]-[114]</val>
              </value>
              <value t="str">
                <val>290/2001</val>
              </value>
              <value t="str">
                <val>תל אביב</val>
              </value>
              <value t="str">
                <val>215/02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980631</val>
              </value>
              <value t="str">
                <val>גן יבנה 106</val>
              </value>
              <value t="str">
                <val>564, 547, 545,544</val>
              </value>
              <value t="str">
                <val>קלרה</val>
              </value>
              <value t="str">
                <val>282-286/2001</val>
              </value>
              <value t="str">
                <val>תל אביב</val>
              </value>
              <value t="str">
                <val>787-791/2001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980760</val>
              </value>
              <value t="str">
                <val>ג'יסר א זרקא</val>
              </value>
              <value t="str">
                <val>10397-8</val>
              </value>
              <value t="str">
                <val>1-20</val>
              </value>
              <value t="str">
                <val>13-15/2002</val>
              </value>
              <value t="str">
                <val>חיפה</val>
              </value>
              <value t="str">
                <val>165-167/2002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980810</val>
              </value>
              <value t="str">
                <val>ראשל"צ הצלחת יחזקאל</val>
              </value>
              <value>
                <val>3946</val>
              </value>
              <value t="str">
                <val>120,130...</val>
              </value>
              <value t="str">
                <val>193/99</val>
              </value>
              <value t="str">
                <val>תל אביב</val>
              </value>
              <value t="str">
                <val>486/2000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980841</val>
              </value>
              <value t="str">
                <val>שורש</val>
              </value>
              <value>
                <val>29706</val>
              </value>
              <value>
                <val>16</val>
              </value>
              <value t="str">
                <val xml:space="preserve">כשר לרישום </val>
              </value>
              <value t="str">
                <val>ירושלים</val>
              </value>
              <value t="str">
                <val>149/00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990203</val>
              </value>
              <value t="str">
                <val>גן יבנה 102</val>
              </value>
              <value>
                <val>193</val>
              </value>
              <value>
                <val>47</val>
              </value>
              <value t="str">
                <val>149-156/2000</val>
              </value>
              <value t="str">
                <val>תל אביב</val>
              </value>
              <value t="str">
                <val>720-727/2000</val>
              </value>
              <value t="str">
                <val>כשר לרישום</val>
              </value>
              <value t="str">
                <val>V</val>
              </value>
              <value>
                <val>8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990218</val>
              </value>
              <value t="str">
                <val>לוד גני יער A B C</val>
              </value>
              <value t="str">
                <val>4015, 5163</val>
              </value>
              <value t="str">
                <val>4,6,7 [37]</val>
              </value>
              <value t="str">
                <val>149-150/2001</val>
              </value>
              <value t="str">
                <val>תל אביב</val>
              </value>
              <value t="str">
                <val>491-492/2001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990256</val>
              </value>
              <value t="str">
                <val>חריש</val>
              </value>
              <value t="str">
                <val>8700,8701,8704,8705,8706</val>
              </value>
              <value t="nil">
                <val>1</val>
              </value>
              <value t="str">
                <val>נמסר</val>
              </value>
              <value t="str">
                <val>חיפה</val>
              </value>
              <value t="nil">
                <val>1</val>
              </value>
              <value t="str">
                <val>מחכה להרשאת ביקורת מברזני</val>
              </value>
              <value t="str">
                <val>בוטל</val>
              </value>
              <value>
                <val>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990346</val>
              </value>
              <value t="str">
                <val>תחמש רמת אביב</val>
              </value>
              <value t="str">
                <val>6900,6635, 6634</val>
              </value>
              <value t="str">
                <val>23, 3, 31  קלרה</val>
              </value>
              <value t="str">
                <val>323-325/2001</val>
              </value>
              <value t="str">
                <val>תל אביב</val>
              </value>
              <value t="str">
                <val>990-992/2001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990384</val>
              </value>
              <value t="str">
                <val>מי עמי</val>
              </value>
              <value t="str">
                <val>20456</val>
              </value>
              <value t="str">
                <val>[58],[59],[62]</val>
              </value>
              <value t="nil">
                <val>1</val>
              </value>
              <value t="str">
                <val>חיפה</val>
              </value>
              <value t="str">
                <val>174-175/2001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990386</val>
              </value>
              <value t="str">
                <val>אשקלון רחוב העליה</val>
              </value>
              <value t="str">
                <val>1256, 1246</val>
              </value>
              <value t="str">
                <val>[1000]</val>
              </value>
              <value t="str">
                <val>249-251/2000</val>
              </value>
              <value t="str">
                <val>תל אביב</val>
              </value>
              <value t="str">
                <val>1202-1204/2000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990387</val>
              </value>
              <value t="str">
                <val>חיפה בית המלון</val>
              </value>
              <value t="str">
                <val>10870</val>
              </value>
              <value t="str">
                <val>59</val>
              </value>
              <value t="str">
                <val>9/2002</val>
              </value>
              <value t="str">
                <val>חיפה</val>
              </value>
              <value t="str">
                <val>551/2002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990402</val>
              </value>
              <value t="str">
                <val>תל אביב מתחם סונול</val>
              </value>
              <value>
                <val>6950</val>
              </value>
              <value t="str">
                <val>19,20,21</val>
              </value>
              <value t="str">
                <val>60/2000</val>
              </value>
              <value t="str">
                <val>תל אביב</val>
              </value>
              <value t="str">
                <val>396/00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990412</val>
              </value>
              <value t="str">
                <val>לוד הצעירה</val>
              </value>
              <value t="str">
                <val>4016, 4011, 4012</val>
              </value>
              <value t="nil">
                <val>1</val>
              </value>
              <value t="str">
                <val>114-118/2000</val>
              </value>
              <value t="str">
                <val>תל אביב</val>
              </value>
              <value t="nil">
                <val>1</val>
              </value>
              <value t="str">
                <val>תצר מחדש</val>
              </value>
              <value t="str">
                <val>בוטל</val>
              </value>
              <value>
                <val>5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990447</val>
              </value>
              <value t="str">
                <val>פרדס גאליה</val>
              </value>
              <value>
                <val>37793780</val>
              </value>
              <value t="nil">
                <val>1</val>
              </value>
              <value t="str">
                <val>205-208/2002</val>
              </value>
              <value t="str">
                <val>תל אביב</val>
              </value>
              <value t="str">
                <val>928-931/2002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990563</val>
              </value>
              <value t="str">
                <val>תל אביב כפר שלם - מכרז</val>
              </value>
              <value t="nil">
                <val>1</val>
              </value>
              <value t="nil">
                <val>1</val>
              </value>
              <value t="str">
                <val>מכרז מפי</val>
              </value>
              <value t="str">
                <val>לינקולן</val>
              </value>
              <value t="nil">
                <val>1</val>
              </value>
              <value t="str">
                <val>כשר לרישום</val>
              </value>
              <value t="str">
                <val>V</val>
              </value>
              <value>
                <val>0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990565</val>
              </value>
              <value t="str">
                <val>אשדוד רחוב הנורית</val>
              </value>
              <value t="str">
                <val>2188, 2074</val>
              </value>
              <value t="str">
                <val>74, 136,137</val>
              </value>
              <value t="str">
                <val>122-123/2001</val>
              </value>
              <value t="str">
                <val>תל אביב</val>
              </value>
              <value t="str">
                <val>659-660/2001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990628</val>
              </value>
              <value t="str">
                <val>צהלה פלקוביץ</val>
              </value>
              <value>
                <val>6624</val>
              </value>
              <value t="str">
                <val>[56] – [51]</val>
              </value>
              <value t="str">
                <val>16/2001</val>
              </value>
              <value t="str">
                <val>תל אביב</val>
              </value>
              <value t="str">
                <val>130/2001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990807</val>
              </value>
              <value t="str">
                <val>שבי ציון</val>
              </value>
              <value t="str">
                <val xml:space="preserve">18115 , 18135, 18136 , 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str">
                <val>551-557/08</val>
              </value>
              <value t="str">
                <val>נינה</val>
              </value>
              <value t="str">
                <val>V</val>
              </value>
              <value>
                <val>7</val>
              </value>
              <value t="str">
                <val>תמרה</val>
              </value>
              <value t="nil">
                <val>1</val>
              </value>
              <value t="str">
                <val>נינה אונגר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990817</val>
              </value>
              <value t="str">
                <val>תל יצחק</val>
              </value>
              <value>
                <val>8971</val>
              </value>
              <value t="nil">
                <val>1</val>
              </value>
              <value t="str">
                <val>276-277/2000</val>
              </value>
              <value t="str">
                <val>תל אביב</val>
              </value>
              <value t="str">
                <val>383-384/2001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990852</val>
              </value>
              <value t="str">
                <val>תל אביב צהלה 2627</val>
              </value>
              <value>
                <val>6624</val>
              </value>
              <value t="str">
                <val>274,</val>
              </value>
              <value t="str">
                <val>95-96/2002</val>
              </value>
              <value t="str">
                <val>תל אביב</val>
              </value>
              <value t="str">
                <val>410-412/2003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30263</val>
              </value>
              <value t="str">
                <val>ראש הנקרה שיוך דירות</val>
              </value>
              <value t="str">
                <val>שונים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str">
                <val>500-506/2010</val>
              </value>
              <value t="str">
                <val>כשר לרישום</val>
              </value>
              <value t="str">
                <val>V</val>
              </value>
              <value>
                <val>7</val>
              </value>
              <value t="str">
                <val>קטי</val>
              </value>
              <value t="nil">
                <val>1</val>
              </value>
              <value t="str">
                <val>נינה אונגר</val>
              </value>
              <value t="str">
                <val>משה הודיע כשר לרישום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70305</val>
              </value>
              <value t="str">
                <val>מודיעין בוכמן</val>
              </value>
              <value t="str">
                <val>5813</val>
              </value>
              <value t="str">
                <val>9</val>
              </value>
              <value t="nil">
                <val>1</val>
              </value>
              <value t="str">
                <val>תל אביב</val>
              </value>
              <value t="str">
                <val>1249/2010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שלחנו נייר לבן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90005</val>
              </value>
              <value t="str">
                <val>פסגת זאב השלמת מגרש</val>
              </value>
              <value t="str">
                <val xml:space="preserve">30587 , 31304 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223-224/2011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שלחנו נייר לבן פסגת זאב הקטן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70305</val>
              </value>
              <value t="str">
                <val xml:space="preserve">מודיען קייזר </val>
              </value>
              <value t="str">
                <val>5871</val>
              </value>
              <value t="str">
                <val>34</val>
              </value>
              <value t="nil">
                <val>1</val>
              </value>
              <value t="str">
                <val>תל אביב</val>
              </value>
              <value t="str">
                <val>1250/2010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שלחנו נייר לבן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80720</val>
              </value>
              <value t="str">
                <val>תל אביב בית אל אפיריון</val>
              </value>
              <value t="str">
                <val>7321</val>
              </value>
              <value t="str">
                <val>79,80,82,83,84,85</val>
              </value>
              <value t="str">
                <val>0449-11-03-01</val>
              </value>
              <value t="str">
                <val>תל אביב</val>
              </value>
              <value t="str">
                <val>592-594/11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שלחנו נייר לבן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100360</val>
              </value>
              <value t="str">
                <val>גני תקוה דוניץ</val>
              </value>
              <value t="str">
                <val>6717</val>
              </value>
              <value t="str">
                <val>12,15,18,21,61,89,90,93</val>
              </value>
              <value t="str">
                <val>0621-11-03-01</val>
              </value>
              <value t="str">
                <val>תל אביב</val>
              </value>
              <value t="str">
                <val>808-2011 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יוסף יוסף</val>
              </value>
              <value t="str">
                <val>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40074</val>
              </value>
              <value t="str">
                <val>כוכב יאיר צור יגאל</val>
              </value>
              <value t="str">
                <val>7372,8913,8914.</val>
              </value>
              <value t="nil">
                <val>1</val>
              </value>
              <value t="str">
                <val>0707-11-03-01</val>
              </value>
              <value t="str">
                <val>תל אביב</val>
              </value>
              <value t="str">
                <val>915-919/2011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str">
                <val>קטי</val>
              </value>
              <value t="nil">
                <val>1</val>
              </value>
              <value t="str">
                <val>אירנה איטקיס</val>
              </value>
              <value t="str">
                <val>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70305</val>
              </value>
              <value t="str">
                <val>מודיעין  5871/32</val>
              </value>
              <value t="str">
                <val>5871</val>
              </value>
              <value t="str">
                <val>32</val>
              </value>
              <value t="str">
                <val>0894-11-03-01</val>
              </value>
              <value t="str">
                <val>תל אביב</val>
              </value>
              <value t="str">
                <val>1187/2011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ויקה</val>
              </value>
              <value t="str">
                <val>שלחנו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100263</val>
              </value>
              <value t="str">
                <val>בני ראם תצר ממי</val>
              </value>
              <value t="str">
                <val>5463</val>
              </value>
              <value t="str">
                <val>24</val>
              </value>
              <value t="str">
                <val>0963-11-03-01</val>
              </value>
              <value t="str">
                <val>תל אביב</val>
              </value>
              <value t="str">
                <val>1289/2011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ויקה</val>
              </value>
              <value t="str">
                <val>שלחנו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100167</val>
              </value>
              <value t="str">
                <val>כפר סבא קרדן ג' 7607 ח' 45,46,77, ע"ס 090529</val>
              </value>
              <value t="str">
                <val>7607</val>
              </value>
              <value t="str">
                <val>45,46,77</val>
              </value>
              <value t="str">
                <val>0907-11-03-01</val>
              </value>
              <value t="str">
                <val>תל אביב</val>
              </value>
              <value t="str">
                <val>1201/2011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נועה</val>
              </value>
              <value t="str">
                <val>שלחנו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100475</val>
              </value>
              <value t="str">
                <val>רמת השרון רש\214ב</val>
              </value>
              <value t="str">
                <val>6341,6551</val>
              </value>
              <value t="nil">
                <val>1</val>
              </value>
              <value t="str">
                <val>0019-12-03-01</val>
              </value>
              <value t="str">
                <val>תל אביב</val>
              </value>
              <value t="str">
                <val>33-41/2012</val>
              </value>
              <value t="str">
                <val>כשר לרישום</val>
              </value>
              <value t="str">
                <val>V</val>
              </value>
              <value>
                <val>9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90548</val>
              </value>
              <value t="str">
                <val>צור יצחק ע"פ תבע מק/8/15/101</val>
              </value>
              <value>
                <val>8901</val>
              </value>
              <value t="str">
                <val xml:space="preserve"> 47-56,73</val>
              </value>
              <value t="str">
                <val>0120-12-03-01</val>
              </value>
              <value t="str">
                <val>תל אביב</val>
              </value>
              <value t="str">
                <val>170/2012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90548</val>
              </value>
              <value t="str">
                <val>צור יצחק ע"פ תבע מק/11/15/101</val>
              </value>
              <value>
                <val>8901</val>
              </value>
              <value t="str">
                <val>שונות</val>
              </value>
              <value t="str">
                <val>0772-12-03-01</val>
              </value>
              <value t="str">
                <val>תל אביב</val>
              </value>
              <value t="str">
                <val>1165-1168/2012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נטלי</val>
              </value>
              <value t="nil">
                <val>1</val>
              </value>
              <value t="str">
                <val>במגרה</val>
              </value>
              <value t="str">
                <val>שלחנו לבן- ערים ישלחו צק .לריסה ביקשה 
ושלחנו מיילרים.  שלחו לפע"מ .במגרה של איתמר . יש הערות מפ"מ לגשת לזינה פייקין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80668</val>
              </value>
              <value t="str">
                <val xml:space="preserve">גן יבנה 102 דרום </val>
              </value>
              <value>
                <val>2769</val>
              </value>
              <value t="str">
                <val>1</val>
              </value>
              <value t="str">
                <val>283-12-03-01</val>
              </value>
              <value t="str">
                <val>תל אביב</val>
              </value>
              <value t="str">
                <val>444-2012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שלחנו לבן + הרשאה. ביקשו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30442</val>
              </value>
              <value t="str">
                <val>אשדוד עד הלום גוש 2636 ח 1-3</val>
              </value>
              <value t="str">
                <val>2636</val>
              </value>
              <value t="str">
                <val>1,2,3</val>
              </value>
              <value t="str">
                <val>395-12-03-01</val>
              </value>
              <value t="str">
                <val>תל אביב</val>
              </value>
              <value t="str">
                <val>597/2012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110585</val>
              </value>
              <value t="str">
                <val>אור יהודה מאא1100 ע"ס 000697</val>
              </value>
              <value t="str">
                <val>7408</val>
              </value>
              <value t="str">
                <val>76</val>
              </value>
              <value t="str">
                <val>0424-12-03-01</val>
              </value>
              <value t="str">
                <val>תל אביב</val>
              </value>
              <value t="str">
                <val>665/2012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שלחנו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100600</val>
              </value>
              <value t="str">
                <val>גני תקווה אפריקה ישראל ממ-1-5157</val>
              </value>
              <value>
                <val>6717</val>
              </value>
              <value t="str">
                <val>13,14,16,17,20,63,64,80-88,93 </val>
              </value>
              <value t="str">
                <val xml:space="preserve">423-12-03-01 </val>
              </value>
              <value t="str">
                <val>תל אביב</val>
              </value>
              <value t="str">
                <val>664-2012 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אירנה איטקיס</val>
              </value>
              <value t="str">
                <val>הוגשה גירסה חדשה אירנה תשלח פקס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80140</val>
              </value>
              <value t="str">
                <val>יד בנימין מיכלי תלטון</val>
              </value>
              <value>
                <val>5984</val>
              </value>
              <value t="str">
                <val>12 , 13</val>
              </value>
              <value t="str">
                <val>0635-12-03-01</val>
              </value>
              <value t="str">
                <val>תל אביב</val>
              </value>
              <value t="str">
                <val>0981-2012 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שלחנו לבן ומסמכים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100143</val>
              </value>
              <value t="str">
                <val>בית חילקיה תצר ע"פ  תבע בר/5/138</val>
              </value>
              <value t="str">
                <val>4726</val>
              </value>
              <value t="str">
                <val>26 , 27</val>
              </value>
              <value t="str">
                <val>502-12-03-01</val>
              </value>
              <value t="str">
                <val>תל אביב</val>
              </value>
              <value t="str">
                <val>755/2012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אירנה איטקיס</val>
              </value>
              <value t="str">
                <val>שלחנו לבן ומסמכים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110074</val>
              </value>
              <value t="str">
                <val>גאולי תימן הרחבה</val>
              </value>
              <value t="str">
                <val>8395</val>
              </value>
              <value t="str">
                <val>77,94-98 </val>
              </value>
              <value t="str">
                <val>0696-12-03-01</val>
              </value>
              <value t="str">
                <val>תל אביב</val>
              </value>
              <value t="str">
                <val>1054-1055/2012 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נטלי+יוליה</val>
              </value>
              <value t="nil">
                <val>1</val>
              </value>
              <value t="str">
                <val>אירנה איטקיס</val>
              </value>
              <value t="str">
                <val>לריסה ביקשה הבהרות . ישבתי בתאריך 17.1.2013  עם לריסה ויפתח תיק . אירנה ביקשה עוד תיקונים ומיילר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110825</val>
              </value>
              <value t="str">
                <val>תלמי יפה גוש 3161 ח 34 , 36</val>
              </value>
              <value t="str">
                <val>3161</val>
              </value>
              <value t="str">
                <val>34 , 36</val>
              </value>
              <value t="str">
                <val>0779-12-03-01</val>
              </value>
              <value t="str">
                <val>תל אביב</val>
              </value>
              <value t="str">
                <val>1183/2012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קטי</val>
              </value>
              <value t="nil">
                <val>1</val>
              </value>
              <value t="nil">
                <val>1</val>
              </value>
              <value t="str">
                <val>שלחנו תיק ומסמכים. אסנת תיפתח בקרוב.שלחנו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70609</val>
              </value>
              <value t="str">
                <val>באר טוביה אחים גיבשטיין</val>
              </value>
              <value t="str">
                <val>2737 , 2424 , 312</val>
              </value>
              <value t="str">
                <val>שונות</val>
              </value>
              <value t="str">
                <val>0740-12-03-01</val>
              </value>
              <value t="str">
                <val>תל אביב</val>
              </value>
              <value t="str">
                <val>1111-1113/2012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שלחנו כל מה שלריסה ביקשה . 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70322</val>
              </value>
              <value t="str">
                <val xml:space="preserve"> תל אביב צהלה, תצ"ר - גוש 6624 ח' 868,870</val>
              </value>
              <value t="str">
                <val>6624</val>
              </value>
              <value t="str">
                <val>868  870</val>
              </value>
              <value t="str">
                <val>0839-12-03-01</val>
              </value>
              <value t="str">
                <val>תל אביב</val>
              </value>
              <value t="str">
                <val>1263/2012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נועה</val>
              </value>
              <value t="str">
                <val>שלחנו תיק ומסמכים +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100203</val>
              </value>
              <value t="str">
                <val>עזריה   גז/19/1</val>
              </value>
              <value t="str">
                <val>4386</val>
              </value>
              <value t="str">
                <val>32</val>
              </value>
              <value t="str">
                <val>0974-12-03-01</val>
              </value>
              <value t="str">
                <val>תל אביב</val>
              </value>
              <value t="str">
                <val>1499/2012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אירנה איטקיס</val>
              </value>
              <value t="str">
                <val>שלחנו קבצים ותיק חישובים , ותוספת קבצים . ישבתי בתאריך 17.1.2013  עם לריסה ויפתח תיק .שלחנו מיילר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120104</val>
              </value>
              <value t="str">
                <val>כפר סבא בית ברל חלקה 13 בגוש 7597</val>
              </value>
              <value t="str">
                <val>7597</val>
              </value>
              <value t="str">
                <val>13</val>
              </value>
              <value t="str">
                <val>0255-13-03-01</val>
              </value>
              <value t="str">
                <val>תל אביב</val>
              </value>
              <value t="str">
                <val>347/2013 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קטי+תמרה</val>
              </value>
              <value t="nil">
                <val>1</val>
              </value>
              <value t="str">
                <val>נועה אהרונוב</val>
              </value>
              <value t="str">
                <val>תמרה שלחה קבצים לאבי . אבי אישר - לשלוח את תיק החישובים .טרם הוחלט היכן יבדק 23.4.2013 .ביקשו מיילר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110885</val>
              </value>
              <value t="str">
                <val>תל אביב מתחם בזק - פארק החורשות</val>
              </value>
              <value t="str">
                <val>7053</val>
              </value>
              <value t="str">
                <val>25,60</val>
              </value>
              <value t="str">
                <val>0480-14-03-01</val>
              </value>
              <value t="str">
                <val>תל אביב</val>
              </value>
              <value t="str">
                <val>764/2014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אליפסה חדשה עקב הגדלת השטח להפקעה לפי סעיף 19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110885</val>
              </value>
              <value t="str">
                <val>תל אביב מתחם בזק - פארק החורשות  -  התצר מבוטל</val>
              </value>
              <value t="str">
                <val>7053</val>
              </value>
              <value t="str">
                <val>25,60</val>
              </value>
              <value t="str">
                <val>0297-13-03-01</val>
              </value>
              <value t="str">
                <val>תל אביב</val>
              </value>
              <value t="str">
                <val>413/2013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אליפסה מבוטלת   . ראה אליפסה  764/2014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50236</val>
              </value>
              <value t="str">
                <val>תל יצחק שיוך דירות</val>
              </value>
              <value t="str">
                <val>8971</val>
              </value>
              <value t="str">
                <val>שונות</val>
              </value>
              <value t="str">
                <val>0353-13-03-01</val>
              </value>
              <value t="str">
                <val>תל אביב</val>
              </value>
              <value t="str">
                <val>497-499/2013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נטלי</val>
              </value>
              <value t="nil">
                <val>1</val>
              </value>
              <value t="str">
                <val>אירנה איטקיס</val>
              </value>
              <value t="str">
                <val>שלחנו קבצים פעם שניה . לריסה אישרה לפתוח תיק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100684</val>
              </value>
              <value t="str">
                <val>שפיים הרחבה דרומית</val>
              </value>
              <value t="str">
                <val>8936</val>
              </value>
              <value t="str">
                <val>שונות</val>
              </value>
              <value t="str">
                <val>0354-13-03-01</val>
              </value>
              <value t="str">
                <val>תל אביב</val>
              </value>
              <value t="str">
                <val>500-501/2013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str">
                <val>מיכאל וינשטיין</val>
              </value>
              <value t="str">
                <val>שלחנו קבצים פעם שניה לבדיקה . נבדקו במרחב ונמצאו תקינים . פתחו תיק היום 29.4.2013 .העברנו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100025</val>
              </value>
              <value t="str">
                <val>כרמי יוסף מרכז מסחרי תצר ובמש</val>
              </value>
              <value t="str">
                <val>4874</val>
              </value>
              <value t="str">
                <val>42</val>
              </value>
              <value t="str">
                <val>0436-13-03-01</val>
              </value>
              <value t="str">
                <val>תל אביב</val>
              </value>
              <value t="str">
                <val>626/2013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עודד ניידק 0506-225482</val>
              </value>
              <value t="str">
                <val xml:space="preserve">יפתח היום תיק 5.6.2013 . העברנו  מיילרים כדי לשלוח לבדיקה בלינקולן 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60672</val>
              </value>
              <value t="str">
                <val>ניר גלים הרחבה - תיקון תצר</val>
              </value>
              <value t="str">
                <val>197  3160</val>
              </value>
              <value t="str">
                <val>שונות</val>
              </value>
              <value t="str">
                <val>0476-13-03-01</val>
              </value>
              <value t="str">
                <val>תל אביב</val>
              </value>
              <value t="str">
                <val>717-718/13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str">
                <val>נועה אהרונוב</val>
              </value>
              <value t="str">
                <val>יפתח היום תיק 5.6.2013 .שלחנו את רשת הבקרה לאישור מפ"י .תשר יכין d.rep - העברנו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40236</val>
              </value>
              <value t="str">
                <val>ערד גבעות מזרחיות</val>
              </value>
              <value t="str">
                <val>100253/1   100254/1    38584  38585  38586  38587</val>
              </value>
              <value t="str">
                <val>שונות</val>
              </value>
              <value t="str">
                <val>0789-13-05-01</val>
              </value>
              <value t="str">
                <val>דרום</val>
              </value>
              <value t="str">
                <val>1242-1247/2013</val>
              </value>
              <value t="str">
                <val>כשר לרישום</val>
              </value>
              <value t="nil">
                <val>1</val>
              </value>
              <value>
                <val>6</val>
              </value>
              <value t="str">
                <val>תמרה</val>
              </value>
              <value t="nil">
                <val>1</val>
              </value>
              <value t="str">
                <val>סרגיי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110600</val>
              </value>
              <value t="str">
                <val>שוהם גוש 6855 לתצר ממי</val>
              </value>
              <value t="str">
                <val>6858 6855</val>
              </value>
              <value t="str">
                <val>שונות</val>
              </value>
              <value t="str">
                <val>0550-13-03-01</val>
              </value>
              <value t="str">
                <val>תל אביב</val>
              </value>
              <value t="str">
                <val>847-849/13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תמרה</val>
              </value>
              <value t="nil">
                <val>1</val>
              </value>
              <value t="str">
                <val>מיכאל וינשטיין</val>
              </value>
              <value t="str">
                <val>הקבצים נבדקו במחוז . התקיימה  פגישה במחוז .האם נפתח תיק ?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100714</val>
              </value>
              <value t="str">
                <val>לוד שער העיר תצר</val>
              </value>
              <value t="str">
                <val>4026</val>
              </value>
              <value t="str">
                <val>שונות</val>
              </value>
              <value t="str">
                <val>0549-13-03-01</val>
              </value>
              <value t="str">
                <val>תל אביב</val>
              </value>
              <value t="str">
                <val>845-846/13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הקבצים נבדקו במחוז . התקיימה  פגישה במחוז .האם נפתח תיק ? אסנת פתחה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110584</val>
              </value>
              <value t="str">
                <val>אור יהודה מאא1022</val>
              </value>
              <value t="str">
                <val>7216</val>
              </value>
              <value t="str">
                <val>92 , 145 , 154</val>
              </value>
              <value t="str">
                <val>0579-13-03-01</val>
              </value>
              <value t="str">
                <val>תל אביב</val>
              </value>
              <value t="str">
                <val>893-894/2013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str">
                <val>מיכאל וינשטיין</val>
              </value>
              <value t="str">
                <val>הקבצים נבדקו במחוז . התקיימה  פגישה במחוז .האם נפתח תיק ? אסנת תפתח . יש בעיות עם הצק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110154</val>
              </value>
              <value t="str">
                <val>מודיעין תצר בגוש 5816 חלקה 9 פלסים</val>
              </value>
              <value t="str">
                <val>5816</val>
              </value>
              <value t="str">
                <val>9</val>
              </value>
              <value t="str">
                <val>0618-13-03-01</val>
              </value>
              <value t="str">
                <val>תל אביב</val>
              </value>
              <value t="str">
                <val>944/2013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נועה אהרונוב</val>
              </value>
              <value t="str">
                <val>נפתח תיק . ביקשו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90428</val>
              </value>
              <value t="str">
                <val>רמת השרון תדהר גוש 6550</val>
              </value>
              <value t="str">
                <val>6550</val>
              </value>
              <value t="str">
                <val>185-187 , 199 , 214</val>
              </value>
              <value t="str">
                <val>0700-13-03-01</val>
              </value>
              <value t="str">
                <val>תל אביב</val>
              </value>
              <value t="str">
                <val>1099-1100/13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str">
                <val>אירנה איטקיס</val>
              </value>
              <value t="str">
                <val>אירנה אישרה לפתוח תיק 20.8.2013 . האם נפתח תיק ? אסנת פתחה . 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120538</val>
              </value>
              <value t="str">
                <val>כפר שמריהו מתחם הנוריות - תתג</val>
              </value>
              <value t="str">
                <val>6665 , 6666</val>
              </value>
              <value t="str">
                <val>שונות</val>
              </value>
              <value t="str">
                <val>0791-13-03-01</val>
              </value>
              <value t="str">
                <val>תל אביב</val>
              </value>
              <value t="str">
                <val>1253-1254/2013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str">
                <val>אירנה איטקיס</val>
              </value>
              <value t="str">
                <val>אירנה איטקיס אישרה לפתוח תיק 20.8.2013 . שלחנו קבצים סופיים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80303</val>
              </value>
              <value t="str">
                <val>רגבה תצר ממי</val>
              </value>
              <value t="str">
                <val>18483,18482,19799,21132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str">
                <val>932-935/2011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נטלי</val>
              </value>
              <value t="nil">
                <val>1</val>
              </value>
              <value t="str">
                <val>נינה אונגר</val>
              </value>
              <value t="str">
                <val>שלחנו נייר לבן . מחכים לאישור מאג'ד ואח"ב מהנדס מטה אשר.קיבלנו ושלחנו שוב לנינה . מסרנו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40425</val>
              </value>
              <value t="str">
                <val>שדמות דבורה</val>
              </value>
              <value t="str">
                <val>15121 , 15180 ונוספים</val>
              </value>
              <value t="nil">
                <val>1</val>
              </value>
              <value t="str">
                <val>0333-12-02-01</val>
              </value>
              <value t="str">
                <val>חיפה</val>
              </value>
              <value t="str">
                <val>517-525/2012</val>
              </value>
              <value t="str">
                <val>כשר לרישום</val>
              </value>
              <value t="str">
                <val>V</val>
              </value>
              <value>
                <val>9</val>
              </value>
              <value t="str">
                <val>נטלי</val>
              </value>
              <value t="nil">
                <val>1</val>
              </value>
              <value t="str">
                <val>ולד טריפונוב</val>
              </value>
              <value t="str">
                <val>שלחנו נייר לבן. שלחנו תיקונים ב 17.4.2013 . מסרנו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130007</val>
              </value>
              <value t="str">
                <val>הרצליה הילס תבע הר-מק- 1903-א על בסיס 060373</val>
              </value>
              <value t="str">
                <val>7200</val>
              </value>
              <value t="nil">
                <val>1</val>
              </value>
              <value t="str">
                <val>1004-13-03-01</val>
              </value>
              <value t="str">
                <val>תל אביב</val>
              </value>
              <value t="str">
                <val>1622/2013 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אישרו את קבלת הקבצים . שלחנו מיילרים 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110781</val>
              </value>
              <value t="str">
                <val>רכבת קלה חידוש תצרים גוש דן</val>
              </value>
              <value t="str">
                <val>7421</val>
              </value>
              <value t="str">
                <val>9 , 11-13</val>
              </value>
              <value t="str">
                <val>1037-13-03-01</val>
              </value>
              <value t="str">
                <val>תל אביב</val>
              </value>
              <value t="str">
                <val>1698-2013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משרדנו חתום על ההתחייבות הכספית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110443</val>
              </value>
              <value t="str">
                <val>מושב איתן הרחבה</val>
              </value>
              <value t="str">
                <val>2995 , 2997 , 3219</val>
              </value>
              <value t="str">
                <val>שונות</val>
              </value>
              <value t="str">
                <val>0747-14-05-01</val>
              </value>
              <value t="str">
                <val>דרום</val>
              </value>
              <value t="str">
                <val>1217-1219/2014</val>
              </value>
              <value t="str">
                <val>מחוז</val>
              </value>
              <value t="nil">
                <val>1</val>
              </value>
              <value>
                <val>3</val>
              </value>
              <value t="str">
                <val>אירה</val>
              </value>
              <value t="str">
                <val>נמסר היום 8.2.2015</val>
              </value>
              <value t="str">
                <val>מחכים למסמכים לפתיחת תיק ביקורת תצר</val>
              </value>
              <value t="nil">
                <val>1</val>
              </value>
              <value t="str">
                <val>גלעד לוי</val>
              </value>
              <value t="nil">
                <val>1</val>
              </value>
              <value t="nil">
                <val>1</val>
              </value>
              <value>
                <val>110472</val>
              </value>
              <value t="str">
                <val>ניר בנים הרחבה תצר ממי ע"ב 050254</val>
              </value>
              <value t="str">
                <val>2934</val>
              </value>
              <value t="str">
                <val>41,42,43,92</val>
              </value>
              <value t="str">
                <val>1009-14-05-01</val>
              </value>
              <value t="str">
                <val>דרום</val>
              </value>
              <value t="str">
                <val>1628/2014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תמרה</val>
              </value>
              <value t="str">
                <val>27.10.2014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טרם נפתח</val>
              </value>
              <value t="nil">
                <val>1</val>
              </value>
              <value>
                <val>40669</val>
              </value>
              <value t="str">
                <val>רמת השרון מק-1000 תיקון</val>
              </value>
              <value t="str">
                <val>6603</val>
              </value>
              <value t="nil">
                <val>1</val>
              </value>
              <value t="str">
                <val>0082-13-03-01</val>
              </value>
              <value t="str">
                <val>תל אביב</val>
              </value>
              <value t="str">
                <val>103/2013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ויקה</val>
              </value>
              <value t="str">
                <val>תיקנתי במיילר בתאריך 12.2.2014 . מחכה להעתק אור+ דוח קרקע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120709</val>
              </value>
              <value t="str">
                <val>מעצ, כביש 4  מחלף אלוף שדה בר אילן</val>
              </value>
              <value t="str">
                <val>שונים</val>
              </value>
              <value t="nil">
                <val>1</val>
              </value>
              <value t="str">
                <val>817-14-03-01</val>
              </value>
              <value t="str">
                <val>הגליל</val>
              </value>
              <value t="str">
                <val>1309-1316/2014</val>
              </value>
              <value t="str">
                <val>מחוז</val>
              </value>
              <value t="nil">
                <val>1</val>
              </value>
              <value>
                <val>8</val>
              </value>
              <value t="str">
                <val>נטלי</val>
              </value>
              <value t="str">
                <val>28.8.2014</val>
              </value>
              <value t="str">
                <val>יוסף יוסף</val>
              </value>
              <value t="str">
                <val>בתור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120015</val>
              </value>
              <value t="str">
                <val>כביש עוקף קריות תצר מעצ</val>
              </value>
              <value t="str">
                <val>שונים</val>
              </value>
              <value t="nil">
                <val>1</val>
              </value>
              <value t="str">
                <val>1030-13-01-01</val>
              </value>
              <value t="str">
                <val>הגליל</val>
              </value>
              <value t="str">
                <val>1670-1690/13</val>
              </value>
              <value t="str">
                <val>מחוז</val>
              </value>
              <value t="nil">
                <val>1</val>
              </value>
              <value>
                <val>21</val>
              </value>
              <value t="str">
                <val>תמרה</val>
              </value>
              <value t="str">
                <val>21.10.2014</val>
              </value>
              <value t="str">
                <val>ניקולא</val>
              </value>
              <value t="str">
                <val>ראמי התחיל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120706</val>
              </value>
              <value t="str">
                <val>מעצ, כביש 75  רמת יישי נהלל</val>
              </value>
              <value t="nil">
                <val>1</val>
              </value>
              <value t="nil">
                <val>1</val>
              </value>
              <value t="str">
                <val>1111-13-01-01</val>
              </value>
              <value t="str">
                <val>הגליל</val>
              </value>
              <value t="str">
                <val>1833-1843/2013</val>
              </value>
              <value t="str">
                <val>מחוז</val>
              </value>
              <value t="nil">
                <val>1</val>
              </value>
              <value>
                <val>11</val>
              </value>
              <value t="str">
                <val>תמרה</val>
              </value>
              <value t="str">
                <val>15.12.2013</val>
              </value>
              <value t="str">
                <val>ניקולא</val>
              </value>
              <value t="str">
                <val>בעבודה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60321</val>
              </value>
              <value t="str">
                <val>תל אביב שוק בצלאל</val>
              </value>
              <value t="str">
                <val>6912</val>
              </value>
              <value t="str">
                <val>32,31,24,23,22,21,15 </val>
              </value>
              <value t="nil">
                <val>1</val>
              </value>
              <value t="str">
                <val>תל אביב</val>
              </value>
              <value t="str">
                <val>93-94/2014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120101</val>
              </value>
              <value t="str">
                <val>כיסרא סמיע</val>
              </value>
              <value t="str">
                <val xml:space="preserve">19092 , 19091 , 19201 , </val>
              </value>
              <value t="nil">
                <val>1</val>
              </value>
              <value t="str">
                <val>0496-14-01-01</val>
              </value>
              <value t="str">
                <val>הגליל</val>
              </value>
              <value t="str">
                <val>795-800/2014</val>
              </value>
              <value t="str">
                <val>מחוז</val>
              </value>
              <value t="nil">
                <val>1</val>
              </value>
              <value>
                <val>6</val>
              </value>
              <value t="str">
                <val>אירה</val>
              </value>
              <value t="str">
                <val>25.6.2014</val>
              </value>
              <value t="str">
                <val>ניקולא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140036</val>
              </value>
              <value t="str">
                <val>חריש איחוד מגרשים 431 432</val>
              </value>
              <value t="str">
                <val>9070</val>
              </value>
              <value t="str">
                <val>ארעיות 45 , 46</val>
              </value>
              <value t="str">
                <val xml:space="preserve"> 0805-14-01-01</val>
              </value>
              <value t="str">
                <val>הגליל</val>
              </value>
              <value t="str">
                <val>1297/2014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אירה</val>
              </value>
              <value t="nil">
                <val>1</val>
              </value>
              <value t="nil">
                <val>1</val>
              </value>
              <value t="str">
                <val xml:space="preserve">(תכנית 41) </val>
              </value>
              <value t="str">
                <val>גלעד לוי</val>
              </value>
              <value t="nil">
                <val>1</val>
              </value>
              <value t="nil">
                <val>1</val>
              </value>
              <value>
                <val>80435</val>
              </value>
              <value t="str">
                <val>כפר יחזקאל תצר ממי</val>
              </value>
              <value t="nil">
                <val>1</val>
              </value>
              <value t="nil">
                <val>1</val>
              </value>
              <value t="str">
                <val>0820-14-01-01</val>
              </value>
              <value t="str">
                <val>הגליל</val>
              </value>
              <value t="str">
                <val>1336-1342/2014</val>
              </value>
              <value t="str">
                <val>מחוז</val>
              </value>
              <value t="nil">
                <val>1</val>
              </value>
              <value>
                <val>6</val>
              </value>
              <value t="str">
                <val>אירה</val>
              </value>
              <value t="str">
                <val>10.9.2014</val>
              </value>
              <value t="str">
                <val>יוסף יוסף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120593</val>
              </value>
              <value t="str">
                <val>הרצליה תצר הר1985א - חלק 1/2</val>
              </value>
              <value t="str">
                <val>שונים</val>
              </value>
              <value t="nil">
                <val>1</val>
              </value>
              <value t="str">
                <val>0569-14-03-01</val>
              </value>
              <value t="str">
                <val>הגליל</val>
              </value>
              <value t="str">
                <val>885-895/2014</val>
              </value>
              <value t="str">
                <val>כשר לרישום</val>
              </value>
              <value t="nil">
                <val>1</val>
              </value>
              <value>
                <val>11</val>
              </value>
              <value t="str">
                <val>נטלי</val>
              </value>
              <value t="str">
                <val>11.8.2014</val>
              </value>
              <value t="str">
                <val>יוסף יוסף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120593</val>
              </value>
              <value t="str">
                <val>הרצליה תצר הר1985א - חלק 2/2</val>
              </value>
              <value t="str">
                <val>שונים</val>
              </value>
              <value t="nil">
                <val>1</val>
              </value>
              <value t="str">
                <val>1124-14-03-01</val>
              </value>
              <value t="str">
                <val>הגליל</val>
              </value>
              <value t="str">
                <val>1822-1829/2014</val>
              </value>
              <value t="str">
                <val>מחוז</val>
              </value>
              <value t="nil">
                <val>1</val>
              </value>
              <value>
                <val>8</val>
              </value>
              <value t="str">
                <val>נטלי</val>
              </value>
              <value t="str">
                <val>11.8.2014</val>
              </value>
              <value t="str">
                <val>יוסף יוסף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30519</val>
              </value>
              <value t="str">
                <val>האון שיוך דירות</val>
              </value>
              <value t="str">
                <val>שונים</val>
              </value>
              <value t="nil">
                <val>1</val>
              </value>
              <value t="str">
                <val>0950-14-01-01</val>
              </value>
              <value t="str">
                <val>הגליל</val>
              </value>
              <value t="str">
                <val>1538-1543/2014</val>
              </value>
              <value t="str">
                <val>מחוז</val>
              </value>
              <value t="nil">
                <val>1</val>
              </value>
              <value>
                <val>6</val>
              </value>
              <value t="str">
                <val>נטלי</val>
              </value>
              <value t="str">
                <val>20.10.2014</val>
              </value>
              <value t="str">
                <val>יוסף יוסף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70078</val>
              </value>
              <value t="str">
                <val>צפת עמק התכלת</val>
              </value>
              <value t="str">
                <val>14679</val>
              </value>
              <value t="str">
                <val>1-4 ,,,</val>
              </value>
              <value t="str">
                <val>0695-14-01-01</val>
              </value>
              <value t="str">
                <val>הגליל</val>
              </value>
              <value t="str">
                <val>1121-1122/2014</val>
              </value>
              <value t="str">
                <val>כשר לרישום</val>
              </value>
              <value t="nil">
                <val>1</val>
              </value>
              <value>
                <val>2</val>
              </value>
              <value t="str">
                <val>אירה</val>
              </value>
              <value t="str">
                <val>2.7.2014</val>
              </value>
              <value t="str">
                <val>אדהם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60071</val>
              </value>
              <value t="str">
                <val>כרכום</val>
              </value>
              <value t="str">
                <val>שונים</val>
              </value>
              <value t="str">
                <val xml:space="preserve">13571 13578 13574 13573 13570 14078 14079 13618 </val>
              </value>
              <value t="str">
                <val>939-11-02-01</val>
              </value>
              <value t="str">
                <val>חיפה</val>
              </value>
              <value t="str">
                <val>1247-1259/2011</val>
              </value>
              <value t="str">
                <val>מחוז</val>
              </value>
              <value t="nil">
                <val>1</val>
              </value>
              <value>
                <val>16</val>
              </value>
              <value t="str">
                <val>קטי+תמרה</val>
              </value>
              <value t="str">
                <val>207.10.2014</val>
              </value>
              <value t="str">
                <val>הייתם</val>
              </value>
              <value t="str">
                <val>שלחנו נייר לבן. הייתם יבדוק .הייתם יחזיר נייר לבן של גושי הרקע עם מכתב הערות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60332</val>
              </value>
              <value t="str">
                <val>אבו גוש יהל מהנדסים</val>
              </value>
              <value t="str">
                <val>29528 29545 29524 29528 29551</val>
              </value>
              <value t="nil">
                <val>1</val>
              </value>
              <value t="str">
                <val>???</val>
              </value>
              <value t="str">
                <val>ירושלים</val>
              </value>
              <value t="str">
                <val>548-552/2009</val>
              </value>
              <value t="str">
                <val>מחוז</val>
              </value>
              <value t="nil">
                <val>1</val>
              </value>
              <value>
                <val>4</val>
              </value>
              <value t="str">
                <val>קטי+תמרה</val>
              </value>
              <value t="nil">
                <val>1</val>
              </value>
              <value t="str">
                <val>חגי</val>
              </value>
              <value t="str">
                <val>חגי יודיע מה חסר .איציק מיכה לאישורי ועדה חדשים
בהמתנה עד לאישור ועדה החדש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50489</val>
              </value>
              <value t="str">
                <val xml:space="preserve">אבו גוש קשת ע"פ תבע  הל/מח/567 </val>
              </value>
              <value t="str">
                <val>29545 , 29540 , 31398</val>
              </value>
              <value t="nil">
                <val>1</val>
              </value>
              <value t="str">
                <val>0996-14-04-01</val>
              </value>
              <value t="str">
                <val>ירושלים</val>
              </value>
              <value t="str">
                <val>1606-1608/2014</val>
              </value>
              <value t="str">
                <val>מחוז</val>
              </value>
              <value t="nil">
                <val>1</val>
              </value>
              <value>
                <val>3</val>
              </value>
              <value t="str">
                <val>אירה</val>
              </value>
              <value t="str">
                <val>10.11.2014</val>
              </value>
              <value t="str">
                <val>חגי לייבושור</val>
              </value>
              <value t="str">
                <val xml:space="preserve">שלחנו את תיק החישובים בתאריך 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20294</val>
              </value>
              <value t="str">
                <val>תל אביב מתחם בית אל אחי רורמן</val>
              </value>
              <value t="str">
                <val>7321</val>
              </value>
              <value t="str">
                <val>40,49-52,54-58</val>
              </value>
              <value t="str">
                <val>275-14-03-01</val>
              </value>
              <value t="str">
                <val>לינקולן</val>
              </value>
              <value t="str">
                <val>481/2014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תמרה</val>
              </value>
              <value t="str">
                <val>26.3.2014</val>
              </value>
              <value t="str">
                <val>אירנה איטקיס</val>
              </value>
              <value t="str">
                <val>הקבצים אושרו.חסר נסחי רישום ומכתב בקשה שלא לסמן בשדה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130385</val>
              </value>
              <value t="str">
                <val>גן יאשיה מתחם יכון</val>
              </value>
              <value t="str">
                <val>8565</val>
              </value>
              <value t="str">
                <val>3-9 , 11</val>
              </value>
              <value t="str">
                <val>0519-14-03-01</val>
              </value>
              <value t="str">
                <val>לינקולן</val>
              </value>
              <value t="str">
                <val>826/2014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אירה</val>
              </value>
              <value t="str">
                <val>6.11.2014</val>
              </value>
              <value t="str">
                <val>מיכאל וינשטיין</val>
              </value>
              <value t="str">
                <val>שלחנו תיק חישובים מלא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130075</val>
              </value>
              <value t="str">
                <val>כרמי יוסף 4103-88</val>
              </value>
              <value t="str">
                <val>4103</val>
              </value>
              <value t="str">
                <val>88</val>
              </value>
              <value t="str">
                <val>0810-14-03-01</val>
              </value>
              <value t="str">
                <val>לינקולן</val>
              </value>
              <value t="str">
                <val>1302/2014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אירה</val>
              </value>
              <value t="str">
                <val>23.10.2014</val>
              </value>
              <value t="str">
                <val>מיכאל וינשטיין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120528</val>
              </value>
              <value t="str">
                <val>כפר שמריהו תצר החבצלת גוש 6674</val>
              </value>
              <value t="str">
                <val>6674</val>
              </value>
              <value t="nil">
                <val>1</val>
              </value>
              <value t="str">
                <val>1003-13-03-01</val>
              </value>
              <value t="str">
                <val>לינקולן</val>
              </value>
              <value t="str">
                <val>1621/2013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str">
                <val>30.4.2014</val>
              </value>
              <value t="str">
                <val>מיכאל וינשטיין</val>
              </value>
              <value t="str">
                <val>אישרו את קבלת הקבצים . שלחנו שוב תיק חישובים .טלי שמחה צריכה לשלוח בדחיפות מסמכים לפתיחת תיק ביקורת + צק מקדמה על סך 2000  ש"ח לפקודת המרכז למיפוי ישראל .ביקשו מדידה קרקעית וסימון . שלחנו מיילרים</val>
              </value>
              <value t="nil">
                <val>1</val>
              </value>
              <value t="str">
                <val>התכנית כשרה לרישום</val>
              </value>
              <value t="nil">
                <val>1</val>
              </value>
              <value>
                <val>130105</val>
              </value>
              <value t="str">
                <val>גני תקוה תצר לתבע ממ5162 גוש 6717 ח 22 23</val>
              </value>
              <value t="str">
                <val>6717</val>
              </value>
              <value t="str">
                <val>22 , 23</val>
              </value>
              <value t="str">
                <val>0570-14-03-01</val>
              </value>
              <value t="str">
                <val>לינקולן</val>
              </value>
              <value t="str">
                <val>904/2014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str">
                <val>12.6.2014</val>
              </value>
              <value t="str">
                <val xml:space="preserve">זלמה רובנוב </val>
              </value>
              <value t="str">
                <val>מסרנו מיילר</val>
              </value>
              <value t="nil">
                <val>1</val>
              </value>
              <value t="str">
                <val>התכנית כשרה לרישום</val>
              </value>
              <value t="nil">
                <val>1</val>
              </value>
              <value>
                <val>120708</val>
              </value>
              <value t="str">
                <val>כביש 1 קטע נתבג לוד מעצ</val>
              </value>
              <value t="str">
                <val>שונים</val>
              </value>
              <value t="nil">
                <val>1</val>
              </value>
              <value t="str">
                <val>1075-14-03-01</val>
              </value>
              <value t="str">
                <val>לינקולן</val>
              </value>
              <value t="str">
                <val>1723-1728/2014</val>
              </value>
              <value t="str">
                <val>מחוז</val>
              </value>
              <value t="nil">
                <val>1</val>
              </value>
              <value>
                <val>6</val>
              </value>
              <value t="str">
                <val>תמרה</val>
              </value>
              <value t="str">
                <val>20.11.2014</val>
              </value>
              <value t="str">
                <val>מיכאל וינשטיין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140158</val>
              </value>
              <value t="str">
                <val>יסודות גוש 3915  חלקה 351 תצר ורישום</val>
              </value>
              <value t="str">
                <val>3915</val>
              </value>
              <value t="str">
                <val>351</val>
              </value>
              <value t="str">
                <val>929-14-03-01</val>
              </value>
              <value t="str">
                <val>לינקולן</val>
              </value>
              <value t="str">
                <val>1505/2014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יוליה</val>
              </value>
              <value t="str">
                <val>23.10.2014</val>
              </value>
              <value t="str">
                <val>זלמה רובנוב</val>
              </value>
              <value t="str">
                <val>אירנה ביקשה תיקונים 27.11.2014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120795</val>
              </value>
              <value t="str">
                <val>תל אביב כיתן סנטר</val>
              </value>
              <value t="str">
                <val>6625</val>
              </value>
              <value t="str">
                <val>שונות</val>
              </value>
              <value t="str">
                <val>0566-14-03-01</val>
              </value>
              <value t="str">
                <val>לינקולן</val>
              </value>
              <value t="str">
                <val>882/2014</val>
              </value>
              <value t="str">
                <val>מחוז</val>
              </value>
              <value t="nil">
                <val>1</val>
              </value>
              <value t="str">
                <val>1</val>
              </value>
              <value t="str">
                <val>נטלי</val>
              </value>
              <value t="str">
                <val>27.7.2014</val>
              </value>
              <value t="str">
                <val>מיכאל וינשטיין</val>
              </value>
              <value t="str">
                <val>להיפגש עם אירנה איטקיס . סופקו בקשותיה .</val>
              </value>
              <value t="nil">
                <val>1</val>
              </value>
              <value t="str">
                <val>בהמתנה לביקורת</val>
              </value>
              <value t="nil">
                <val>1</val>
              </value>
              <value>
                <val>130564</val>
              </value>
              <value t="str">
                <val>רמת השרון יוספטל רש-מק-1093</val>
              </value>
              <value t="str">
                <val>6550</val>
              </value>
              <value t="str">
                <val>182 , 227 , 228 , .....</val>
              </value>
              <value t="str">
                <val>0573-14-03-01</val>
              </value>
              <value t="str">
                <val>לינקולן</val>
              </value>
              <value t="str">
                <val>907/2014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נטלי</val>
              </value>
              <value t="str">
                <val>11.8.2014</val>
              </value>
              <value t="str">
                <val>זינה פייקין</val>
              </value>
              <value t="str">
                <val xml:space="preserve">שלחנו היום  10.8.2014   צק חדש . </val>
              </value>
              <value t="nil">
                <val>1</val>
              </value>
              <value t="str">
                <val>בהמתנה לביקורת</val>
              </value>
              <value t="nil">
                <val>1</val>
              </value>
              <value>
                <val>120483</val>
              </value>
              <value t="str">
                <val>בית חרות אם הדרך</val>
              </value>
              <value t="str">
                <val>8338</val>
              </value>
              <value t="str">
                <val>101,103</val>
              </value>
              <value t="str">
                <val>0500-14-03-01</val>
              </value>
              <value t="str">
                <val>לינקולן</val>
              </value>
              <value t="str">
                <val>805/2014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נטלי</val>
              </value>
              <value t="str">
                <val>1.7.2014</val>
              </value>
              <value t="str">
                <val>מיכאל וינשטיין</val>
              </value>
              <value t="str">
                <val>להיפגש עם אירנה איטקיס . נפגשתי וסיפקנו מה שביקשה.</val>
              </value>
              <value t="nil">
                <val>1</val>
              </value>
              <value t="str">
                <val>בהמתנה לביקורת</val>
              </value>
              <value t="nil">
                <val>1</val>
              </value>
              <value>
                <val>120710</val>
              </value>
              <value t="str">
                <val>מעצ  כביש 5  מחלף 411 מחלף קסם</val>
              </value>
              <value t="str">
                <val>שונים</val>
              </value>
              <value t="nil">
                <val>1</val>
              </value>
              <value t="str">
                <val>1101-13-03-01</val>
              </value>
              <value t="str">
                <val>לינקולן</val>
              </value>
              <value t="str">
                <val>1806-1812/2013</val>
              </value>
              <value t="str">
                <val>מחוז</val>
              </value>
              <value t="nil">
                <val>1</val>
              </value>
              <value>
                <val>7</val>
              </value>
              <value t="str">
                <val>נטלי</val>
              </value>
              <value t="str">
                <val>30.10.2014</val>
              </value>
              <value t="str">
                <val>מיכאל וינשטיין</val>
              </value>
              <value t="str">
                <val xml:space="preserve">נמסור את תצהיר ויקוור מוקי למפ"י 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90725</val>
              </value>
              <value t="str">
                <val xml:space="preserve">באר יעקב תב"ע ממ/4/1517 </val>
              </value>
              <value t="str">
                <val>3784 3785 4245 4041</val>
              </value>
              <value t="str">
                <val>שונות</val>
              </value>
              <value t="str">
                <val>1051-13-03-01</val>
              </value>
              <value t="str">
                <val>לינקולן</val>
              </value>
              <value t="str">
                <val>1717-1721-2013</val>
              </value>
              <value t="str">
                <val>כשר לרישום</val>
              </value>
              <value t="nil">
                <val>1</val>
              </value>
              <value>
                <val>5</val>
              </value>
              <value t="str">
                <val>אירה</val>
              </value>
              <value t="str">
                <val>1.6.2014</val>
              </value>
              <value t="str">
                <val>מיכאל וינשטיין</val>
              </value>
              <value t="str">
                <val>סיפקנו מיילרים</val>
              </value>
              <value t="nil">
                <val>1</val>
              </value>
              <value t="str">
                <val>העבודה בתיקונים</val>
              </value>
              <value t="nil">
                <val>1</val>
              </value>
              <value>
                <val>110010</val>
              </value>
              <value t="str">
                <val>משבצת פארן</val>
              </value>
              <value t="str">
                <val xml:space="preserve"> ....39082 39083</val>
              </value>
              <value t="nil">
                <val>1</val>
              </value>
              <value t="str">
                <val>0923-13-05-03</val>
              </value>
              <value t="str">
                <val>לינקולן</val>
              </value>
              <value t="str">
                <val>354-359/2014</val>
              </value>
              <value t="str">
                <val>מחוז</val>
              </value>
              <value t="nil">
                <val>1</val>
              </value>
              <value>
                <val>6</val>
              </value>
              <value t="str">
                <val>תמרה</val>
              </value>
              <value t="str">
                <val>2.3.2014</val>
              </value>
              <value t="str">
                <val>אידה</val>
              </value>
              <value t="str">
                <val>שלחנו קבצים לאבי שוסטרוב וגם לברוניה קושניר</val>
              </value>
              <value t="nil">
                <val>1</val>
              </value>
              <value t="str">
                <val>יש תביעה.בינתיים לא בודקים את התכניות.</val>
              </value>
              <value t="nil">
                <val>1</val>
              </value>
              <value>
                <val>20367</val>
              </value>
              <value t="str">
                <val>נצרת הר הקפיצה</val>
              </value>
              <value t="str">
                <val>16558,16557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str">
                <val>7-10/2012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קטי+תמרה</val>
              </value>
              <value t="nil">
                <val>1</val>
              </value>
              <value t="str">
                <val>אורי לינסקיל</val>
              </value>
              <value t="str">
                <val>שלחנו שני מכתבים .
לעדכן מצבית -בוצע . להכין שטיח קדסטרי חדש 
על סמך חיפוש בשדה ודוחות הזזה חדשים - בוצע .ביקשו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90563</val>
              </value>
              <value t="str">
                <val xml:space="preserve">חדרה חד 1300 </val>
              </value>
              <value t="str">
                <val>10008,10571 ונוספים</val>
              </value>
              <value t="nil">
                <val>1</val>
              </value>
              <value t="nil">
                <val>1</val>
              </value>
              <value t="str">
                <val>חיפה</val>
              </value>
              <value t="str">
                <val>790/2012 – 775</val>
              </value>
              <value t="str">
                <val>כשר לרישום</val>
              </value>
              <value t="str">
                <val>V</val>
              </value>
              <value>
                <val>16</val>
              </value>
              <value t="str">
                <val>תמרה</val>
              </value>
              <value t="nil">
                <val>1</val>
              </value>
              <value t="str">
                <val>נינה אונגר</val>
              </value>
              <value t="str">
                <val>הבדיקה בעיצומה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60500</val>
              </value>
              <value t="str">
                <val>נוה אילן הרחבה צפונית</val>
              </value>
              <value t="str">
                <val>29542 , 29543 , 31330</val>
              </value>
              <value t="nil">
                <val>1</val>
              </value>
              <value t="str">
                <val>0341-14-04-01</val>
              </value>
              <value t="str">
                <val>לינקולן</val>
              </value>
              <value t="str">
                <val>579-581/2014</val>
              </value>
              <value t="str">
                <val>מחוז</val>
              </value>
              <value t="nil">
                <val>1</val>
              </value>
              <value>
                <val>3</val>
              </value>
              <value t="str">
                <val>תמרה</val>
              </value>
              <value t="str">
                <val>26.5.2014</val>
              </value>
              <value t="str">
                <val>ורדה סובול</val>
              </value>
              <value t="str">
                <val>שלחנו קבצים לשוסטרוב . שלחנו תיק חישובים לחגי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50387</val>
              </value>
              <value t="str">
                <val>נוה אילן שיוך דירות</val>
              </value>
              <value t="str">
                <val>29542 29543 29697 …..</val>
              </value>
              <value t="nil">
                <val>1</val>
              </value>
              <value t="str">
                <val>622-10-04-01</val>
              </value>
              <value t="str">
                <val>ירושלים</val>
              </value>
              <value t="str">
                <val>742-747/10</val>
              </value>
              <value t="str">
                <val>כשר לרישום</val>
              </value>
              <value t="str">
                <val>V</val>
              </value>
              <value>
                <val>6</val>
              </value>
              <value t="str">
                <val>תמרה</val>
              </value>
              <value t="nil">
                <val>1</val>
              </value>
              <value t="str">
                <val>חגי</val>
              </value>
              <value t="str">
                <val>להוסיף סוג סימן, לסכם מה מסמנים בשדה - סימנו בשדה - מסרנו מיילרים . מצאו ויבדקו במחוז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70582</val>
              </value>
              <value t="str">
                <val>שורש שיוך דירות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773-777/10</val>
              </value>
              <value t="str">
                <val>כשר לרישום</val>
              </value>
              <value t="str">
                <val>V</val>
              </value>
              <value>
                <val>5</val>
              </value>
              <value t="str">
                <val>תמרה</val>
              </value>
              <value t="nil">
                <val>1</val>
              </value>
              <value t="str">
                <val xml:space="preserve">מיכאל מסר :  ורה חתמה </val>
              </value>
              <value t="str">
                <val>סימנו גם בצפון ושלחנו, חגי העביר ללינקולן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80705</val>
              </value>
              <value t="str">
                <val>ירושלים קוסטריקה תבע 5350</val>
              </value>
              <value t="str">
                <val>30427 30439 30423 30428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160-163/2010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תמרה</val>
              </value>
              <value t="nil">
                <val>1</val>
              </value>
              <value t="str">
                <val>רונית</val>
              </value>
              <value t="str">
                <val>מסרנו מיילרים , שלחו לפע"מ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100091</val>
              </value>
              <value t="str">
                <val>גן יבנה 102 קניון ח' 50 בגוש 2767</val>
              </value>
              <value t="str">
                <val>2767</val>
              </value>
              <value t="str">
                <val>50</val>
              </value>
              <value t="str">
                <val>1032-10-03-01</val>
              </value>
              <value t="str">
                <val>תל אביב</val>
              </value>
              <value t="str">
                <val>1330/2010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שלחנו נייר לבן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100407</val>
              </value>
              <value t="str">
                <val>ירושלים פסגת זאב  הבינונית יתרת תב"ע 7928</val>
              </value>
              <value t="str">
                <val xml:space="preserve">30587 , 31304 , 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450-452/2011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נטלי</val>
              </value>
              <value t="nil">
                <val>1</val>
              </value>
              <value t="nil">
                <val>1</val>
              </value>
              <value t="str">
                <val>מסרנו נייר לבן , שוקה אישר שאין צורך בסימון נוסף בשדה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80637</val>
              </value>
              <value t="str">
                <val>פסגת זאב דרום חלוקה יוצאת</val>
              </value>
              <value t="str">
                <val>30688 , 30689 , 30690</val>
              </value>
              <value t="nil">
                <val>1</val>
              </value>
              <value t="nil">
                <val>1</val>
              </value>
              <value t="str">
                <val>ירושלים</val>
              </value>
              <value t="str">
                <val>1143-1145/2011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נטלי</val>
              </value>
              <value t="nil">
                <val>1</val>
              </value>
              <value t="str">
                <val xml:space="preserve">מסרנו מיילרים למחלקת פע"מ </val>
              </value>
              <value t="str">
                <val>כרמלי המליץ לורה לבן לאשר ככשר לרישום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100216</val>
              </value>
              <value t="str">
                <val>קניון פסגת זאב</val>
              </value>
              <value t="str">
                <val>30613/36 , 31307/5</val>
              </value>
              <value t="nil">
                <val>1</val>
              </value>
              <value t="str">
                <val>21976</val>
              </value>
              <value t="str">
                <val>ירושלים</val>
              </value>
              <value t="str">
                <val>173-174/2012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קטי</val>
              </value>
              <value t="nil">
                <val>1</val>
              </value>
              <value t="str">
                <val>חגי</val>
              </value>
              <value t="str">
                <val>סימנו בשדה ומסרנו נייר לבן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90409</val>
              </value>
              <value t="str">
                <val>בית שמש בש/122/יח בית יאיר</val>
              </value>
              <value t="str">
                <val>5213</val>
              </value>
              <value t="str">
                <val>19,21,22,24-27,31,85,155,168</val>
              </value>
              <value t="str">
                <val>0685-12-04-01</val>
              </value>
              <value t="str">
                <val>ירושלים</val>
              </value>
              <value t="str">
                <val>1043-2012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חגי</val>
              </value>
              <value t="str">
                <val>מסרנו מיילרים , שלחו לפע"מ, שלחנו קבצים גירסה נוספת</val>
              </value>
              <value t="nil">
                <val>1</val>
              </value>
              <value t="nil">
                <val>1</val>
              </value>
              <value t="str">
                <val>בטאבו ירושלים</val>
              </value>
              <value>
                <val>90702</val>
              </value>
              <value t="str">
                <val>בית שמש  בש-112 
גוש 5211 ע"ס מ"ע 070473</val>
              </value>
              <value t="str">
                <val>5211</val>
              </value>
              <value t="str">
                <val>74-76,78-81,83-86,88,89,127</val>
              </value>
              <value t="str">
                <val>0664-12-01-01</val>
              </value>
              <value t="str">
                <val>ירושלים</val>
              </value>
              <value t="str">
                <val>1016/2012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אניה רוזנברג</val>
              </value>
              <value t="str">
                <val>מסרנו מיילר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60163</val>
              </value>
              <value t="str">
                <val>פסגת זאב תבע 8151</val>
              </value>
              <value t="str">
                <val>30592 30590</val>
              </value>
              <value t="str">
                <val>שונות</val>
              </value>
              <value t="nil">
                <val>1</val>
              </value>
              <value t="str">
                <val>ירושלים</val>
              </value>
              <value t="str">
                <val>122-124/2013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תמרה</val>
              </value>
              <value t="nil">
                <val>1</val>
              </value>
              <value t="str">
                <val>במגרה</val>
              </value>
              <value t="str">
                <val>שלחנו נייר לבן + מכתב לא לסמן + תמונות מהשטח + מיילרים.שלחו ללינקולן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40623</val>
              </value>
              <value t="str">
                <val>פסגת זאב תבע 11647</val>
              </value>
              <value t="str">
                <val xml:space="preserve">31304 31306 31307 30613 31305 </val>
              </value>
              <value t="str">
                <val>שונות</val>
              </value>
              <value t="str">
                <val>0281-13-04-01</val>
              </value>
              <value t="str">
                <val>ירושלים</val>
              </value>
              <value t="str">
                <val>381-389/2013</val>
              </value>
              <value t="str">
                <val>כשר לרישום</val>
              </value>
              <value t="str">
                <val>V</val>
              </value>
              <value>
                <val>9</val>
              </value>
              <value t="str">
                <val>נטלי</val>
              </value>
              <value t="nil">
                <val>1</val>
              </value>
              <value t="str">
                <val>חגי + קוכי</val>
              </value>
              <value t="str">
                <val>שלחנו לבן + תיק חישובים + צק
עשינו  סימון בשדה . שלחנו שוב . יבדקו במחוז .נטלי פגשה את חגי . שלחנו מיילרים .בעדכן גו"ח מופיע כשר לרישום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110723</val>
              </value>
              <value t="str">
                <val>רוגלית הרחבה תצ"ר מ.מ.י</val>
              </value>
              <value t="str">
                <val>34285  34286</val>
              </value>
              <value t="str">
                <val>שונות</val>
              </value>
              <value t="str">
                <val>367-13-04-01</val>
              </value>
              <value t="str">
                <val>ירושלים</val>
              </value>
              <value t="str">
                <val>514-517/2013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נטלי</val>
              </value>
              <value t="nil">
                <val>1</val>
              </value>
              <value t="str">
                <val>רננה כוכי</val>
              </value>
              <value t="str">
                <val>מטפלים בהרשאה התקציבית .רונית שלחה הערות .נפגשתי עם חגי היום 27.8.2013 .שלחנו פרשה מעודכנת . בתאריך 3.9.2013   שלחנו קבצים  עם מספרי אליפסות +פרשה טכנית מעודכנת של רוגלית.חגי אמר שיאשר .מסרנו מיילר דרך איתמר בתאריך 21.8.2014 . יאשרו השבוע 31.8.2014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50073</val>
              </value>
              <value t="str">
                <val>ירושלים מורדות משואה תמ"מ 12032</val>
              </value>
              <value t="str">
                <val>30422 30425 30426 30427 30431 31401 31402</val>
              </value>
              <value t="str">
                <val>שונות</val>
              </value>
              <value t="str">
                <val>368-13-04-01</val>
              </value>
              <value t="str">
                <val>ירושלים</val>
              </value>
              <value t="str">
                <val>518-525/2013</val>
              </value>
              <value t="str">
                <val>כשר לרישום</val>
              </value>
              <value t="str">
                <val>V</val>
              </value>
              <value>
                <val>8</val>
              </value>
              <value t="str">
                <val>נטלי</val>
              </value>
              <value t="nil">
                <val>1</val>
              </value>
              <value t="str">
                <val>רננה</val>
              </value>
              <value t="str">
                <val>נשלח לחגי דרך פע"מ .חגי שלח הערות רוצה תוספת מיפוי מצבי .שלחנו לחגי עם התוספת המצבית . נפגשתי עם חגי היום 27.8.2013 חגי יאשר . שלחנו מיילרים . חגי חתם כשר לרישום</val>
              </value>
              <value t="nil">
                <val>1</val>
              </value>
              <value t="nil">
                <val>1</val>
              </value>
              <value t="str">
                <val>בטאבו ירושלים</val>
              </value>
              <value>
                <val>60357</val>
              </value>
              <value t="str">
                <val>ירושלים גילה אדמות המדינה תבע 13157</val>
              </value>
              <value t="str">
                <val>30933 30962 30964</val>
              </value>
              <value t="str">
                <val>שונות</val>
              </value>
              <value t="str">
                <val>443-13-04-01</val>
              </value>
              <value t="str">
                <val>ירושלים</val>
              </value>
              <value t="str">
                <val>639-641/2013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נטלי</val>
              </value>
              <value t="nil">
                <val>1</val>
              </value>
              <value t="str">
                <val>חגי</val>
              </value>
              <value t="str">
                <val>נשלח לחגי דרך פע"מ . רונית שלחה הערות . 
נפגשתי עם חגי ב 27.8.2013 . חגי יאשר . שיווקו מגרשים ולכן משהבש ירושלים לחוצים מאוד .</val>
              </value>
              <value t="nil">
                <val>1</val>
              </value>
              <value t="nil">
                <val>1</val>
              </value>
              <value t="str">
                <val>בטאבו ירושלים</val>
              </value>
              <value>
                <val>90126</val>
              </value>
              <value t="str">
                <val>מבשרת ציון שכונה י תבע הל-644</val>
              </value>
              <value t="str">
                <val>30321  30320</val>
              </value>
              <value t="str">
                <val>שונות</val>
              </value>
              <value t="str">
                <val>483-13-04-01</val>
              </value>
              <value t="str">
                <val>ירושלים</val>
              </value>
              <value t="str">
                <val>725-726/2013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str">
                <val>חגי</val>
              </value>
              <value t="str">
                <val>נשלח לחגי דרך פע"מ . ישבתי עם חגי על אופן הקמת הגבולות . חגי אישר .
כוכי בודקת את המיילרים . יאשרו השבוע 31.8.2014</val>
              </value>
              <value t="nil">
                <val>1</val>
              </value>
              <value t="nil">
                <val>1</val>
              </value>
              <value t="str">
                <val>בטאבו ירושלים</val>
              </value>
              <value>
                <val>110530</val>
              </value>
              <value t="str">
                <val>פסגת זאב חלקה 2 בגוש 30614</val>
              </value>
              <value t="str">
                <val>30614</val>
              </value>
              <value t="str">
                <val>2</val>
              </value>
              <value t="nil">
                <val>1</val>
              </value>
              <value t="str">
                <val>ירושלים</val>
              </value>
              <value t="str">
                <val>474/2013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רונית</val>
              </value>
              <value t="str">
                <val>רונית שלחה הערות . קיבלנו מכתב מדני אוסטר והעברנו הא לחגי .
לסמן קטע של חלוקה יוצאת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40453</val>
              </value>
              <value t="str">
                <val>פסגת זאב תחנת השאיבה תבע 13144</val>
              </value>
              <value t="str">
                <val>30590</val>
              </value>
              <value t="str">
                <val xml:space="preserve"> 99, 100, 101, 141, 458, 460, 473, 477</val>
              </value>
              <value t="str">
                <val>0914-13-04-01</val>
              </value>
              <value t="str">
                <val>ירושלים</val>
              </value>
              <value t="str">
                <val>1495/2013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רונית</val>
              </value>
              <value t="str">
                <val>שלחנו לחגי קבצים . שלחנו היום 25.8.2013 תיק חישובים לחגי.
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544</val>
              </value>
              <value t="str">
                <val>גורן תצ"ר</val>
              </value>
              <value t="str">
                <val>18615 18617</val>
              </value>
              <value t="str">
                <val>שונות</val>
              </value>
              <value t="str">
                <val>0921-12-01-01</val>
              </value>
              <value t="str">
                <val>הגליל</val>
              </value>
              <value t="str">
                <val>1416-1418/2012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נטלי</val>
              </value>
              <value t="nil">
                <val>1</val>
              </value>
              <value t="str">
                <val>ניקולא</val>
              </value>
              <value t="str">
                <val xml:space="preserve">שלחנו קבצים+תיק חישובים+נייר לבן+הסברים .מחכים לתשובה מניקולא .מבקשים עידכון מצבי בדרום .שלחנו 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70177</val>
              </value>
              <value t="str">
                <val>בסמת טבעון חפאג/1341</val>
              </value>
              <value t="str">
                <val>10474 10473 12827 10473</val>
              </value>
              <value t="str">
                <val>שונות</val>
              </value>
              <value t="str">
                <val>0920-12-01-01</val>
              </value>
              <value t="str">
                <val>הגליל</val>
              </value>
              <value t="str">
                <val>1412-1415/2012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קטי+תמרה</val>
              </value>
              <value t="nil">
                <val>1</val>
              </value>
              <value t="str">
                <val>יוסף יוסף</val>
              </value>
              <value t="str">
                <val>שלחנו קבצים+תיק חישובים+נייר לבן, שלחו משוב .שלחנו קבצים מתוקנים , ביקשנו פטור מסימון בשדה .ביקשו עוד תיקונים מינוריים .ביקשו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70382</val>
              </value>
              <value t="str">
                <val>נשר תוכנית הווי"ם</val>
              </value>
              <value t="str">
                <val>11207 11206 12820 12377</val>
              </value>
              <value t="str">
                <val>שונות</val>
              </value>
              <value t="str">
                <val>0004-13-01-01</val>
              </value>
              <value t="str">
                <val>הגליל</val>
              </value>
              <value t="str">
                <val>4-7/2013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תמרה</val>
              </value>
              <value t="nil">
                <val>1</val>
              </value>
              <value t="str">
                <val>ראמי</val>
              </value>
              <value t="str">
                <val>שלחנו קבצים+תיק חישובים+נייר לבן
ביקשו תיקונים . שלחנו בתאריך 25.4.2013 . שלחנו מיילרים שיחתמו היום ע"י יוסף יוסף 19.5.2013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110555</val>
              </value>
              <value t="str">
                <val>ירושלים גוש 30564,חלקה 38</val>
              </value>
              <value t="str">
                <val>30564</val>
              </value>
              <value t="str">
                <val>38</val>
              </value>
              <value t="str">
                <val>35-14-04-01</val>
              </value>
              <value t="str">
                <val>ירושלים</val>
              </value>
              <value t="str">
                <val>76/2014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חגי</val>
              </value>
              <value t="str">
                <val>מסרנו תיק חישובים למפי י"ם . ביקשתי להעביר ללינקולן . תיקונים גרפיים קלים . 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130407</val>
              </value>
              <value t="str">
                <val>פסגת זאב 3 מגרשים 30587-118 30590-495 31314-[10]  שלמה כהן</val>
              </value>
              <value t="nil">
                <val>1</val>
              </value>
              <value t="nil">
                <val>1</val>
              </value>
              <value t="str">
                <val>0176-14-04-01</val>
              </value>
              <value t="str">
                <val>ירושלים</val>
              </value>
              <value t="str">
                <val>264-266/2014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אירה</val>
              </value>
              <value t="nil">
                <val>1</val>
              </value>
              <value t="str">
                <val>רונית</val>
              </value>
              <value t="str">
                <val>שלחנו קבצים לאבי שוסטרוב.הקבצים תקינים.שלמה מסר תיק חישובים למפי ירושלים .ביקשתי להעביר ללינקולן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100510</val>
              </value>
              <value t="str">
                <val>ירושלים הר הצופים האוניברסיטה</val>
              </value>
              <value t="str">
                <val>30509 31383  31335</val>
              </value>
              <value t="nil">
                <val>1</val>
              </value>
              <value t="str">
                <val>0368-14-04-01</val>
              </value>
              <value t="str">
                <val>לינקולן</val>
              </value>
              <value t="str">
                <val>614-617/2014</val>
              </value>
              <value t="str">
                <val>מחוז</val>
              </value>
              <value t="nil">
                <val>1</val>
              </value>
              <value>
                <val>4</val>
              </value>
              <value t="str">
                <val>נטלי</val>
              </value>
              <value t="str">
                <val>26.5.2014</val>
              </value>
              <value t="str">
                <val>טרם התחילו ביקורת</val>
              </value>
              <value t="str">
                <val>שלחנו קבצים לשוסטרוב . שלחנו תיק חישובים לחגי</val>
              </value>
              <value t="nil">
                <val>1</val>
              </value>
              <value t="str">
                <val>בהמתנה לביקורת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60220</val>
              </value>
              <value t="str">
                <val>נתניה נאות גנים</val>
              </value>
              <value t="str">
                <val>8215 - 8218</val>
              </value>
              <value t="str">
                <val>ביקורת תכנית לתיעוד גבולות</val>
              </value>
              <value t="str">
                <val>0984-10-03-04</val>
              </value>
              <value t="str">
                <val>תל אביב</val>
              </value>
              <value t="str">
                <val>5000-5008/11</val>
              </value>
              <value t="str">
                <val>מחוז</val>
              </value>
              <value t="nil">
                <val>1</val>
              </value>
              <value>
                <val>9</val>
              </value>
              <value t="str">
                <val>תמרה</val>
              </value>
              <value t="str">
                <val>8.2.2012</val>
              </value>
              <value t="str">
                <val>אירנה איטקיס</val>
              </value>
              <value t="str">
                <val>חסר נסחי  רישום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90579</val>
              </value>
              <value t="str">
                <val>יד בנימין 2-7-256 גוש 5924 ח 85</val>
              </value>
              <value t="str">
                <val>5924</val>
              </value>
              <value t="str">
                <val>85</val>
              </value>
              <value t="str">
                <val>0464-13-03-01</val>
              </value>
              <value t="str">
                <val>תל אביב</val>
              </value>
              <value t="str">
                <val>0687-2013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נטלי</val>
              </value>
              <value t="str">
                <val>31.12.2012</val>
              </value>
              <value t="str">
                <val>אירנה איטקיס</val>
              </value>
              <value t="str">
                <val>הקבצים נבדקו במחוז . התקיימה  פגישה במחוז .האם נפתח תיק ?</val>
              </value>
              <value t="nil">
                <val>1</val>
              </value>
              <value t="str">
                <val>טרם נפתח</val>
              </value>
              <value t="nil">
                <val>1</val>
              </value>
              <value>
                <val>20697</val>
              </value>
              <value t="str">
                <val>שלומי מתחם אדמית ג-19794</val>
              </value>
              <value t="str">
                <val>שונים</val>
              </value>
              <value t="str">
                <val>שונות</val>
              </value>
              <value t="str">
                <val>0799-13-01-01</val>
              </value>
              <value t="str">
                <val>הגליל</val>
              </value>
              <value t="str">
                <val>1263-1271/2013</val>
              </value>
              <value t="str">
                <val>כשר לרישום</val>
              </value>
              <value t="str">
                <val>V</val>
              </value>
              <value>
                <val>9</val>
              </value>
              <value t="str">
                <val>אירה</val>
              </value>
              <value t="nil">
                <val>1</val>
              </value>
              <value t="str">
                <val>ראמי</val>
              </value>
              <value t="str">
                <val>שלחנו קבצים ותיק חישובים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100857</val>
              </value>
              <value t="str">
                <val>חריש 1\א צפונית ופרסה</val>
              </value>
              <value t="str">
                <val>שונים</val>
              </value>
              <value t="str">
                <val>שונים</val>
              </value>
              <value t="str">
                <val>0823-13-01-01</val>
              </value>
              <value t="str">
                <val>הגליל</val>
              </value>
              <value t="str">
                <val>1320-1337/2013</val>
              </value>
              <value t="str">
                <val>כשר לרישום</val>
              </value>
              <value t="str">
                <val>V</val>
              </value>
              <value>
                <val>18</val>
              </value>
              <value t="str">
                <val>נטלי</val>
              </value>
              <value t="nil">
                <val>1</val>
              </value>
              <value t="str">
                <val>ניקולא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120177</val>
              </value>
              <value t="str">
                <val>שדה אליעזר הרחבה תצר ממי</val>
              </value>
              <value t="str">
                <val>14412 , 13985 , 13986</val>
              </value>
              <value t="str">
                <val>שונות</val>
              </value>
              <value t="str">
                <val>0867-13-01-01</val>
              </value>
              <value t="str">
                <val>הגליל</val>
              </value>
              <value t="str">
                <val>1414-1416/2013</val>
              </value>
              <value t="str">
                <val>כשר לרישום</val>
              </value>
              <value t="str">
                <val>V</val>
              </value>
              <value>
                <val>3</val>
              </value>
              <value t="str">
                <val>נטלי</val>
              </value>
              <value t="nil">
                <val>1</val>
              </value>
              <value t="str">
                <val>ראמי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100857</val>
              </value>
              <value t="str">
                <val>חריש יזמים I</val>
              </value>
              <value t="str">
                <val>שונים</val>
              </value>
              <value t="nil">
                <val>1</val>
              </value>
              <value t="nil">
                <val>1</val>
              </value>
              <value t="str">
                <val>הגליל</val>
              </value>
              <value t="str">
                <val>1982-1995/2013</val>
              </value>
              <value t="str">
                <val>כשר לרישום</val>
              </value>
              <value t="str">
                <val>V</val>
              </value>
              <value>
                <val>14</val>
              </value>
              <value t="str">
                <val>נטלי</val>
              </value>
              <value t="nil">
                <val>1</val>
              </value>
              <value t="str">
                <val>ניקולא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100857</val>
              </value>
              <value t="str">
                <val>חריש יזמים II</val>
              </value>
              <value t="str">
                <val>שונים</val>
              </value>
              <value t="nil">
                <val>1</val>
              </value>
              <value t="nil">
                <val>1</val>
              </value>
              <value t="str">
                <val>הגליל</val>
              </value>
              <value t="str">
                <val>325-331/2014</val>
              </value>
              <value t="str">
                <val>כשר לרישום</val>
              </value>
              <value t="str">
                <val>V</val>
              </value>
              <value>
                <val>7</val>
              </value>
              <value t="str">
                <val>נטלי</val>
              </value>
              <value t="nil">
                <val>1</val>
              </value>
              <value t="str">
                <val>ניקולא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120498</val>
              </value>
              <value t="str">
                <val>אום אל פאחם א.ת.</val>
              </value>
              <value t="str">
                <val>שונים</val>
              </value>
              <value t="nil">
                <val>1</val>
              </value>
              <value t="str">
                <val>1038-13-02-01</val>
              </value>
              <value t="str">
                <val>הגליל</val>
              </value>
              <value t="str">
                <val>1699-1702/13</val>
              </value>
              <value t="str">
                <val>כשר לרישום</val>
              </value>
              <value t="str">
                <val>V</val>
              </value>
              <value>
                <val>4</val>
              </value>
              <value t="str">
                <val>אירה</val>
              </value>
              <value t="nil">
                <val>1</val>
              </value>
              <value t="str">
                <val>אדהם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110065</val>
              </value>
              <value t="str">
                <val>גני תקווה  א דורי גרויסמן הנדסה תבע ממ-5159</val>
              </value>
              <value t="str">
                <val>6717</val>
              </value>
              <value t="str">
                <val>51 , 53 , ,91,94</val>
              </value>
              <value t="str">
                <val>0346-14-03-01</val>
              </value>
              <value t="str">
                <val>תל אביב</val>
              </value>
              <value t="str">
                <val>586/2014</val>
              </value>
              <value t="str">
                <val>כשר לרישום</val>
              </value>
              <value t="nil">
                <val>1</val>
              </value>
              <value>
                <val>1</val>
              </value>
              <value t="str">
                <val>אירה</val>
              </value>
              <value t="str">
                <val>8.5.2014</val>
              </value>
              <value t="str">
                <val xml:space="preserve">אירנה איטקיס . נפתח תיק בתאריך 8.5.2014 </val>
              </value>
              <value t="str">
                <val>הקבצים אושרו . לקראת סיום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100475</val>
              </value>
              <value t="str">
                <val>רמת השרון תצר מתחם הצעירים בתוך 214/ב/1   רש\מק\1082</val>
              </value>
              <value t="str">
                <val>6862</val>
              </value>
              <value t="str">
                <val xml:space="preserve">ארעיות 66-70,73,74,80,89 </val>
              </value>
              <value t="str">
                <val>0529-14-03-01</val>
              </value>
              <value t="str">
                <val>תל אביב</val>
              </value>
              <value t="str">
                <val>836/2014</val>
              </value>
              <value t="str">
                <val>כשר לרישום</val>
              </value>
              <value t="nil">
                <val>1</val>
              </value>
              <value>
                <val>1</val>
              </value>
              <value t="str">
                <val>אירה</val>
              </value>
              <value t="str">
                <val>11.6.2014</val>
              </value>
              <value t="str">
                <val>אירנה איטקיס</val>
              </value>
              <value t="str">
                <val>שלחנו קבצים . מחכים למסמכים לפתיחת תיק ביקורת תצר . עופר בר און צריך לעשות העברה בנקאית .כנראה ששלח כי התיק נפתח. שלחנו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120707</val>
              </value>
              <value t="str">
                <val>מעצ, מסילת העמק יהושע-ברוך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הגליל</val>
              </value>
              <value t="str">
                <val>1813-1822/2013</val>
              </value>
              <value t="str">
                <val>כשר לרישום</val>
              </value>
              <value t="str">
                <val>V</val>
              </value>
              <value>
                <val>10</val>
              </value>
              <value t="str">
                <val>תמרה</val>
              </value>
              <value t="nil">
                <val>1</val>
              </value>
              <value t="str">
                <val>ראמי + אדהם</val>
              </value>
              <value t="str">
                <val>שלחנו מיילרים לאדהם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120208</val>
              </value>
              <value t="str">
                <val>כפר שמריהו נתיבי איילון</val>
              </value>
              <value t="str">
                <val>6665/4,6  6672/100-103</val>
              </value>
              <value t="nil">
                <val>1</val>
              </value>
              <value t="str">
                <val>1146-13-03-01</val>
              </value>
              <value t="str">
                <val>תל אביב</val>
              </value>
              <value t="str">
                <val>1914-1919/2013</val>
              </value>
              <value t="str">
                <val>מחוז</val>
              </value>
              <value t="nil">
                <val>1</val>
              </value>
              <value>
                <val>6</val>
              </value>
              <value t="str">
                <val>נטלי</val>
              </value>
              <value t="str">
                <val>30.6.2014</val>
              </value>
              <value t="str">
                <val>אירנה איטקיס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120634</val>
              </value>
              <value t="str">
                <val>ראשון לציון בזק גוש 3926 חלקות 50 , 51 , 127</val>
              </value>
              <value t="str">
                <val>3926</val>
              </value>
              <value t="str">
                <val>50 ' 51 ' 127</val>
              </value>
              <value t="str">
                <val>0684-14-03-01</val>
              </value>
              <value t="str">
                <val>תל אביב</val>
              </value>
              <value t="str">
                <val>1101/2014</val>
              </value>
              <value t="str">
                <val>כשר לרישום</val>
              </value>
              <value t="nil">
                <val>1</val>
              </value>
              <value t="str">
                <val>1</val>
              </value>
              <value t="str">
                <val>נטלי</val>
              </value>
              <value t="str">
                <val>7.9.2014</val>
              </value>
              <value t="str">
                <val>מיכאל וינשטיין</val>
              </value>
              <value t="str">
                <val>סיפקנו מיילרים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80668</val>
              </value>
              <value t="str">
                <val xml:space="preserve">גן יבנה 102 דרום </val>
              </value>
              <value t="str">
                <val>187</val>
              </value>
              <value t="str">
                <val>13,15</val>
              </value>
              <value t="str">
                <val>1057-14-03-01</val>
              </value>
              <value t="str">
                <val>תל אביב</val>
              </value>
              <value t="str">
                <val>1702-1703/2014</val>
              </value>
              <value t="str">
                <val>מחוז</val>
              </value>
              <value t="nil">
                <val>1</val>
              </value>
              <value>
                <val>2</val>
              </value>
              <value t="str">
                <val>תמרה</val>
              </value>
              <value t="str">
                <val>11.11.2014</val>
              </value>
              <value t="str">
                <val>טרם נקבע</val>
              </value>
              <value t="str">
                <val>שלחנו לאסנת. ליאור יכין במקביל הרשאה תקציבית</val>
              </value>
              <value t="nil">
                <val>1</val>
              </value>
              <value t="str">
                <val>טרם נפתח</val>
              </value>
              <value t="nil">
                <val>1</val>
              </value>
              <value>
                <val>120098</val>
              </value>
              <value t="str">
                <val>אור יהודה איחוד 7408/64,65</val>
              </value>
              <value t="str">
                <val>7408</val>
              </value>
              <value t="nil">
                <val>1</val>
              </value>
              <value t="str">
                <val>1093-14-03-01</val>
              </value>
              <value t="str">
                <val>תל אביב</val>
              </value>
              <value t="str">
                <val>1747/2014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נטלי</val>
              </value>
              <value t="str">
                <val>טרם נמסר</val>
              </value>
              <value t="str">
                <val>מחכים למסמכים לפתיחת תיק ביקורת תצר</val>
              </value>
              <value t="str">
                <val>מיכל רביד ביצעה העברה בנקאית</val>
              </value>
              <value t="str">
                <val>גלעד</val>
              </value>
              <value t="str">
                <val>טרם נפתח</val>
              </value>
              <value t="nil">
                <val>1</val>
              </value>
              <value>
                <val>140157</val>
              </value>
              <value t="str">
                <val>יד בנימין גוש 5923 חלקה 180 תצר ורישום</val>
              </value>
              <value t="str">
                <val>5923</val>
              </value>
              <value t="str">
                <val>180</val>
              </value>
              <value t="nil">
                <val>1</val>
              </value>
              <value t="str">
                <val>תל אביב</val>
              </value>
              <value t="str">
                <val>1508/2014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יוליה</val>
              </value>
              <value t="str">
                <val>23.10.2014</val>
              </value>
              <value t="str">
                <val>אירנה איטקיס</val>
              </value>
              <value t="str">
                <val>אירנה ביקשה תיקונים 27.11.2014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100360</val>
              </value>
              <value t="str">
                <val>גני תקוה דוניץ - הגשה מחדש</val>
              </value>
              <value t="str">
                <val>6717</val>
              </value>
              <value t="str">
                <val>12,15,18,21,61,89,90,144</val>
              </value>
              <value t="str">
                <val>1197-14-03-01</val>
              </value>
              <value t="str">
                <val>תל אביב</val>
              </value>
              <value t="str">
                <val>1976/2014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תמרה</val>
              </value>
              <value t="str">
                <val>10.12.2014</val>
              </value>
              <value t="nil">
                <val>1</val>
              </value>
              <value t="str">
                <val>שלחנו קבצים לאבי בתאריך 8.12.2014 . הוגש בפורמט אסארוי .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90332</val>
              </value>
              <value t="str">
                <val>קיבוץ יהל שיוך דירות</val>
              </value>
              <value t="str">
                <val>39104</val>
              </value>
              <value t="str">
                <val>1</val>
              </value>
              <value t="nil">
                <val>1</val>
              </value>
              <value t="str">
                <val>דרום</val>
              </value>
              <value t="str">
                <val>937/2013</val>
              </value>
              <value t="str">
                <val>כשר לרישום</val>
              </value>
              <value t="str">
                <val>V</val>
              </value>
              <value>
                <val>1</val>
              </value>
              <value t="str">
                <val>נטלי</val>
              </value>
              <value t="nil">
                <val>1</val>
              </value>
              <value t="str">
                <val>סרגיי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120732</val>
              </value>
              <value t="str">
                <val>מעצ רכבת מרחביה שאן</val>
              </value>
              <value t="str">
                <val>שונים</val>
              </value>
              <value t="str">
                <val>שונות</val>
              </value>
              <value t="str">
                <val>1137-14-01-01</val>
              </value>
              <value t="str">
                <val>גלבמן</val>
              </value>
              <value t="str">
                <val>1848-1876/2014</val>
              </value>
              <value t="str">
                <val>מחוז</val>
              </value>
              <value t="nil">
                <val>1</val>
              </value>
              <value>
                <val>29</val>
              </value>
              <value t="str">
                <val>אירה</val>
              </value>
              <value t="str">
                <val>30.12.2014</val>
              </value>
              <value t="str">
                <val>יוסף יוסף</val>
              </value>
              <value t="str">
                <val>הועבר לאיתן גלבמן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120016</val>
              </value>
              <value t="str">
                <val>מעצ כביש 531 מזרח</val>
              </value>
              <value t="nil">
                <val>1</val>
              </value>
              <value t="nil">
                <val>1</val>
              </value>
              <value t="str">
                <val>1124-13-03-01</val>
              </value>
              <value t="str">
                <val>פוקס</val>
              </value>
              <value t="str">
                <val>1861-1876/2013</val>
              </value>
              <value t="str">
                <val>מחוז</val>
              </value>
              <value t="nil">
                <val>1</val>
              </value>
              <value t="str">
                <val>16</val>
              </value>
              <value t="str">
                <val>נטלי</val>
              </value>
              <value t="str">
                <val>16.3.2014</val>
              </value>
              <value t="str">
                <val>אורן פוקס</val>
              </value>
              <value t="str">
                <val>הועבר לאורן פוקס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30418</val>
              </value>
              <value t="str">
                <val>נס ציונה  
תב"ע נס-105</val>
              </value>
              <value t="str">
                <val xml:space="preserve">3753  3750  3853 </val>
              </value>
              <value t="nil">
                <val>1</val>
              </value>
              <value t="nil">
                <val>1</val>
              </value>
              <value t="str">
                <val>פוקס</val>
              </value>
              <value t="str">
                <val>866-887/2009 
578/2013</val>
              </value>
              <value t="str">
                <val>כשר לרישום</val>
              </value>
              <value t="str">
                <val>V</val>
              </value>
              <value>
                <val>23</val>
              </value>
              <value t="str">
                <val>נטלי</val>
              </value>
              <value t="nil">
                <val>1</val>
              </value>
              <value t="str">
                <val>אורן פוקס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120695</val>
              </value>
              <value t="str">
                <val>תל אביב סלמה</val>
              </value>
              <value t="str">
                <val>7088</val>
              </value>
              <value t="str">
                <val xml:space="preserve">21  22  23  25  26  27  28  88  </val>
              </value>
              <value t="nil">
                <val>1</val>
              </value>
              <value t="str">
                <val>פוקס</val>
              </value>
              <value t="str">
                <val>1623-1624/2013</val>
              </value>
              <value t="str">
                <val>כשר לרישום</val>
              </value>
              <value t="str">
                <val>V</val>
              </value>
              <value>
                <val>2</val>
              </value>
              <value t="str">
                <val>אירה</val>
              </value>
              <value t="nil">
                <val>1</val>
              </value>
              <value t="str">
                <val>אורן פוקס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120711</val>
              </value>
              <value t="str">
                <val>מעצ כביש 3 צומת נחשון - צומת חטיבה 7</val>
              </value>
              <value t="nil">
                <val>1</val>
              </value>
              <value t="nil">
                <val>1</val>
              </value>
              <value t="str">
                <val>0256-14-04-01</val>
              </value>
              <value t="str">
                <val>אלדב</val>
              </value>
              <value t="str">
                <val>430-448/2014</val>
              </value>
              <value t="str">
                <val>מחוז</val>
              </value>
              <value t="nil">
                <val>1</val>
              </value>
              <value>
                <val>19</val>
              </value>
              <value t="str">
                <val>תמרה</val>
              </value>
              <value t="str">
                <val>19.3.2014</val>
              </value>
              <value t="str">
                <val>מיכאל וינשטיין</val>
              </value>
              <value t="str">
                <val>הועבר לאריה פרנק ממשרד חץ הצפון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120014</val>
              </value>
              <value t="str">
                <val>כביש 431 מזרח תצר מעצ</val>
              </value>
              <value t="str">
                <val>שונים</val>
              </value>
              <value t="nil">
                <val>1</val>
              </value>
              <value t="nil">
                <val>1</val>
              </value>
              <value t="str">
                <val>פוקס</val>
              </value>
              <value t="str">
                <val>1141-1161/2013</val>
              </value>
              <value t="str">
                <val>כשר לרישום</val>
              </value>
              <value t="str">
                <val>V</val>
              </value>
              <value>
                <val>21</val>
              </value>
              <value t="str">
                <val>אירה</val>
              </value>
              <value t="nil">
                <val>1</val>
              </value>
              <value t="str">
                <val>אורן פוקס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140002</val>
              </value>
              <value t="str">
                <val>גני תקוה תבע 5142</val>
              </value>
              <value t="str">
                <val>6717</val>
              </value>
              <value t="str">
                <val>24 ואחרות</val>
              </value>
              <value t="str">
                <val>40771</val>
              </value>
              <value t="str">
                <val>חנית</val>
              </value>
              <value t="str">
                <val>43/2015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מסרנו הצק לאסנת</val>
              </value>
              <value t="str">
                <val>פורמט חנית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120725</val>
              </value>
              <value t="str">
                <val>גני תקווה 5158</val>
              </value>
              <value t="str">
                <val>6717</val>
              </value>
              <value t="str">
                <val>1 ואחרות</val>
              </value>
              <value t="str">
                <val>40793</val>
              </value>
              <value t="str">
                <val>חנית</val>
              </value>
              <value t="str">
                <val>42/2015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str">
                <val>מסרנו הצק לאסנת</val>
              </value>
              <value t="str">
                <val>פורמט חנית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130826</val>
              </value>
              <value t="str">
                <val>בית עוזיאל הרחבה תצר ממי</val>
              </value>
              <value t="str">
                <val>4667</val>
              </value>
              <value t="nil">
                <val>1</val>
              </value>
              <value t="str">
                <val>40858</val>
              </value>
              <value t="str">
                <val>חנית</val>
              </value>
              <value t="str">
                <val>44-45/2015</val>
              </value>
              <value t="str">
                <val>מחוז</val>
              </value>
              <value t="nil">
                <val>1</val>
              </value>
              <value>
                <val>2</val>
              </value>
              <value t="str">
                <val>תמרה</val>
              </value>
              <value t="nil">
                <val>1</val>
              </value>
              <value t="str">
                <val>מסרנו הצק לאסנת</val>
              </value>
              <value t="str">
                <val>פורמט חנית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130814</val>
              </value>
              <value t="str">
                <val xml:space="preserve">גני עם גוש 6449, חלקה 187 </val>
              </value>
              <value t="str">
                <val>6449</val>
              </value>
              <value t="nil">
                <val>1</val>
              </value>
              <value t="str">
                <val>40831</val>
              </value>
              <value t="str">
                <val>חנית</val>
              </value>
              <value t="str">
                <val>46/2015</val>
              </value>
              <value t="str">
                <val>מחוז</val>
              </value>
              <value t="nil">
                <val>1</val>
              </value>
              <value>
                <val>1</val>
              </value>
              <value t="str">
                <val>תמרה</val>
              </value>
              <value t="nil">
                <val>1</val>
              </value>
              <value t="nil">
                <val>1</val>
              </value>
              <value t="str">
                <val>פורמט חנית מחכים למסמכים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130521</val>
              </value>
              <value t="str">
                <val>רמת גן רג-1-1159 מתחם הגפן</val>
              </value>
              <value t="str">
                <val>6205</val>
              </value>
              <value t="nil">
                <val>1</val>
              </value>
              <value t="str">
                <val>40838</val>
              </value>
              <value t="str">
                <val>חנית</val>
              </value>
              <value t="str">
                <val>200-201/2015</val>
              </value>
              <value t="str">
                <val>מחוז</val>
              </value>
              <value t="nil">
                <val>1</val>
              </value>
              <value>
                <val>2</val>
              </value>
              <value t="str">
                <val>נטלי</val>
              </value>
              <value t="nil">
                <val>1</val>
              </value>
              <value t="str">
                <val>מסרנו הצק לאסנת</val>
              </value>
              <value t="str">
                <val>פורמט חנית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>
                <val>140195</val>
              </value>
              <value t="str">
                <val>באר יעקב - ממ/4/1517 -  310, 323 - תשריט איחוד</val>
              </value>
              <value t="nil">
                <val>1</val>
              </value>
              <value t="nil">
                <val>1</val>
              </value>
              <value t="str">
                <val>40834</val>
              </value>
              <value t="str">
                <val>חנית</val>
              </value>
              <value t="nil">
                <val>1</val>
              </value>
              <value t="str">
                <val>מחוז</val>
              </value>
              <value t="nil">
                <val>1</val>
              </value>
              <value t="nil">
                <val>1</val>
              </value>
              <value t="str">
                <val>אירה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????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חנית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חנית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str">
                <val>חנית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  <value t="nil">
                <val>1</val>
              </value>
            </x14:values>
          </x14:oleItem>
        </mc:Choice>
        <mc:Fallback>
          <oleItem name="!בקורות תצ&quot;ר!R1C1:R351C17" advise="1"/>
        </mc:Fallback>
      </mc:AlternateContent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1"/>
  <sheetViews>
    <sheetView rightToLeft="1" tabSelected="1" workbookViewId="0">
      <pane ySplit="1" topLeftCell="A306" activePane="bottomLeft" state="frozen"/>
      <selection pane="bottomLeft" activeCell="C314" sqref="C314"/>
    </sheetView>
  </sheetViews>
  <sheetFormatPr defaultRowHeight="14.25" x14ac:dyDescent="0.2"/>
  <cols>
    <col min="2" max="2" width="43.375" customWidth="1"/>
    <col min="3" max="3" width="11.25" customWidth="1"/>
    <col min="5" max="5" width="17.625" customWidth="1"/>
    <col min="6" max="6" width="15.75" customWidth="1"/>
    <col min="7" max="7" width="20.875" customWidth="1"/>
    <col min="8" max="8" width="13.5" customWidth="1"/>
  </cols>
  <sheetData>
    <row r="1" spans="1:17" ht="42.75" customHeight="1" x14ac:dyDescent="0.2">
      <c r="A1" s="1" t="str">
        <f t="array" ref="A1:Q351">[1]!'!בקורות תצ"ר!R1C1:R351C17'</f>
        <v>מ"ע
דטהמפ</v>
      </c>
      <c r="B1" s="1" t="str">
        <v>שם העבודה</v>
      </c>
      <c r="C1" s="1" t="str">
        <v>גושים</v>
      </c>
      <c r="D1" s="1" t="str">
        <v>חלקות</v>
      </c>
      <c r="E1" s="1" t="str">
        <v>מס' מ.מ.מ\פר' ביקורת\אגד\מספר חנית</v>
      </c>
      <c r="F1" s="1" t="str">
        <v>מחוז</v>
      </c>
      <c r="G1" s="4" t="str">
        <v>אליפסות</v>
      </c>
      <c r="H1" s="1" t="str">
        <v>מצב התיק\
מסירה אחרונה</v>
      </c>
      <c r="I1" s="1" t="str">
        <v>כשר לרישום =V</v>
      </c>
      <c r="J1" s="5" t="str">
        <v>כמות אליפסות</v>
      </c>
      <c r="K1" s="2" t="str">
        <v>שם העובדת</v>
      </c>
      <c r="L1" s="8" t="str">
        <v>תאריךמסירת  התיק לביקורת</v>
      </c>
      <c r="M1" s="3" t="str">
        <v>שם הבודק\ת</v>
      </c>
      <c r="N1" s="6" t="str">
        <v>הערות</v>
      </c>
      <c r="O1" s="7" t="str">
        <v>המשווק</v>
      </c>
      <c r="P1" s="6" t="str">
        <v>תגובת מפ"י מיום 14.1.2015
ללוח הזמנים</v>
      </c>
      <c r="Q1" s="6" t="str">
        <v>סטטוס
רישום</v>
      </c>
    </row>
    <row r="2" spans="1:17" ht="24.95" customHeight="1" x14ac:dyDescent="0.2">
      <c r="A2" s="9">
        <v>45</v>
      </c>
      <c r="B2" s="9" t="str">
        <v>ראשון לציון מער מערבי
תב"ע  רצ / 1 / 10 / א / 8</v>
      </c>
      <c r="C2" s="9">
        <v>3946</v>
      </c>
      <c r="D2" s="9">
        <v>0</v>
      </c>
      <c r="E2" s="9" t="str">
        <v>0684-09-03-01</v>
      </c>
      <c r="F2" s="9" t="str">
        <v>תל אביב</v>
      </c>
      <c r="G2" s="9" t="str">
        <v>1069,1070/09</v>
      </c>
      <c r="H2" s="9" t="str">
        <v>כשר לרישום</v>
      </c>
      <c r="I2" s="9" t="str">
        <v>V</v>
      </c>
      <c r="J2" s="9">
        <v>2</v>
      </c>
      <c r="K2" s="9" t="str">
        <v>נטלי</v>
      </c>
      <c r="L2" s="9">
        <v>0</v>
      </c>
      <c r="M2" s="9" t="str">
        <v>יוסף יוסף</v>
      </c>
      <c r="N2" s="9" t="str">
        <v>ביקשו סימון בשדה</v>
      </c>
      <c r="O2" s="9">
        <v>0</v>
      </c>
      <c r="P2" s="9">
        <v>0</v>
      </c>
      <c r="Q2" s="9">
        <v>0</v>
      </c>
    </row>
    <row r="3" spans="1:17" ht="24.95" customHeight="1" x14ac:dyDescent="0.2">
      <c r="A3" s="9">
        <v>98</v>
      </c>
      <c r="B3" s="9" t="str">
        <v>כפר קאסם מבנן 7</v>
      </c>
      <c r="C3" s="9" t="str">
        <v>8864, 8865</v>
      </c>
      <c r="D3" s="9">
        <v>0</v>
      </c>
      <c r="E3" s="9" t="str">
        <v>43-47/2003</v>
      </c>
      <c r="F3" s="9" t="str">
        <v>תל אביב</v>
      </c>
      <c r="G3" s="9" t="str">
        <v>145-149/2003</v>
      </c>
      <c r="H3" s="9" t="str">
        <v>כשר לרישום</v>
      </c>
      <c r="I3" s="9" t="str">
        <v>V</v>
      </c>
      <c r="J3" s="9">
        <v>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  <row r="4" spans="1:17" ht="24.95" customHeight="1" x14ac:dyDescent="0.2">
      <c r="A4" s="9">
        <v>173</v>
      </c>
      <c r="B4" s="9" t="str">
        <v>בניה</v>
      </c>
      <c r="C4" s="9">
        <v>5020</v>
      </c>
      <c r="D4" s="9" t="str">
        <v>16-26,40,41</v>
      </c>
      <c r="E4" s="9" t="str">
        <v>109/2002</v>
      </c>
      <c r="F4" s="9" t="str">
        <v>תל אביב</v>
      </c>
      <c r="G4" s="9" t="str">
        <v>728/2002</v>
      </c>
      <c r="H4" s="9" t="str">
        <v>כשר לרישום</v>
      </c>
      <c r="I4" s="9" t="str">
        <v>V</v>
      </c>
      <c r="J4" s="9">
        <v>1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</row>
    <row r="5" spans="1:17" ht="24.95" customHeight="1" x14ac:dyDescent="0.2">
      <c r="A5" s="9">
        <v>178</v>
      </c>
      <c r="B5" s="9" t="str">
        <v>קרית גת רחוב השומרון</v>
      </c>
      <c r="C5" s="9">
        <v>1832</v>
      </c>
      <c r="D5" s="9">
        <v>176</v>
      </c>
      <c r="E5" s="9" t="str">
        <v>פ-5728</v>
      </c>
      <c r="F5" s="9" t="str">
        <v>ירושלים</v>
      </c>
      <c r="G5" s="9">
        <v>0</v>
      </c>
      <c r="H5" s="9" t="str">
        <v>כשר לרישום</v>
      </c>
      <c r="I5" s="9" t="str">
        <v>V</v>
      </c>
      <c r="J5" s="9">
        <v>1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</row>
    <row r="6" spans="1:17" ht="24.95" customHeight="1" x14ac:dyDescent="0.2">
      <c r="A6" s="9">
        <v>482</v>
      </c>
      <c r="B6" s="9" t="str">
        <v>עפולה  יזרעאל</v>
      </c>
      <c r="C6" s="9" t="str">
        <v>16709,16710,16728,16786,</v>
      </c>
      <c r="D6" s="9">
        <v>0</v>
      </c>
      <c r="E6" s="9" t="str">
        <v>150-160/2002</v>
      </c>
      <c r="F6" s="9" t="str">
        <v>חיפה</v>
      </c>
      <c r="G6" s="9" t="str">
        <v>252-262/2003</v>
      </c>
      <c r="H6" s="9" t="str">
        <v>כשר לרישום</v>
      </c>
      <c r="I6" s="9" t="str">
        <v>V</v>
      </c>
      <c r="J6" s="9">
        <v>11</v>
      </c>
      <c r="K6" s="9" t="str">
        <v>6 גושים  חדשים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</row>
    <row r="7" spans="1:17" ht="24.95" customHeight="1" x14ac:dyDescent="0.2">
      <c r="A7" s="9">
        <v>544</v>
      </c>
      <c r="B7" s="9" t="str">
        <v>גורן תצ"ר</v>
      </c>
      <c r="C7" s="9" t="str">
        <v>18615, 18617</v>
      </c>
      <c r="D7" s="9" t="str">
        <v xml:space="preserve">1,2,3, 8,9,10 </v>
      </c>
      <c r="E7" s="9" t="str">
        <v>80-82/2001</v>
      </c>
      <c r="F7" s="9" t="str">
        <v>חיפה</v>
      </c>
      <c r="G7" s="9" t="str">
        <v>883-885/2001</v>
      </c>
      <c r="H7" s="9" t="str">
        <v>כשר לרישום</v>
      </c>
      <c r="I7" s="9" t="str">
        <v>V</v>
      </c>
      <c r="J7" s="9">
        <v>3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</row>
    <row r="8" spans="1:17" ht="24.95" customHeight="1" x14ac:dyDescent="0.2">
      <c r="A8" s="9" t="str">
        <v>648</v>
      </c>
      <c r="B8" s="9" t="str">
        <v>תלמי יפה</v>
      </c>
      <c r="C8" s="9" t="str">
        <v>2582,2583</v>
      </c>
      <c r="D8" s="9">
        <v>0</v>
      </c>
      <c r="E8" s="9" t="str">
        <v>139-141/04</v>
      </c>
      <c r="F8" s="9" t="str">
        <v>תל אביב</v>
      </c>
      <c r="G8" s="9" t="str">
        <v>747-749/04</v>
      </c>
      <c r="H8" s="9" t="str">
        <v>כשר לרישום</v>
      </c>
      <c r="I8" s="9" t="str">
        <v>V</v>
      </c>
      <c r="J8" s="9">
        <v>3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</row>
    <row r="9" spans="1:17" ht="24.95" customHeight="1" x14ac:dyDescent="0.2">
      <c r="A9" s="9">
        <v>678</v>
      </c>
      <c r="B9" s="9" t="str">
        <v>אשדוד רובע ט"ו</v>
      </c>
      <c r="C9" s="9" t="str">
        <v>2003,2004,2016,2017</v>
      </c>
      <c r="D9" s="9">
        <v>0</v>
      </c>
      <c r="E9" s="9">
        <v>0</v>
      </c>
      <c r="F9" s="9">
        <v>0</v>
      </c>
      <c r="G9" s="9" t="str">
        <v>966-972/2002</v>
      </c>
      <c r="H9" s="9" t="str">
        <v>כשר לרישום</v>
      </c>
      <c r="I9" s="9" t="str">
        <v>V</v>
      </c>
      <c r="J9" s="9">
        <v>7</v>
      </c>
      <c r="K9" s="9" t="str">
        <v>3 גושים חדשים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</row>
    <row r="10" spans="1:17" ht="24.95" customHeight="1" x14ac:dyDescent="0.2">
      <c r="A10" s="9">
        <v>697</v>
      </c>
      <c r="B10" s="9" t="str">
        <v>אור יהודה נוה רבין</v>
      </c>
      <c r="C10" s="9" t="str">
        <v>6502</v>
      </c>
      <c r="D10" s="9" t="str">
        <v>155 קלרה</v>
      </c>
      <c r="E10" s="9" t="str">
        <v>44-52/2002</v>
      </c>
      <c r="F10" s="9" t="str">
        <v>תל אביב</v>
      </c>
      <c r="G10" s="9" t="str">
        <v>139-147/2002</v>
      </c>
      <c r="H10" s="9" t="str">
        <v>כשר לרישום</v>
      </c>
      <c r="I10" s="9" t="str">
        <v>V</v>
      </c>
      <c r="J10" s="9">
        <v>9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</row>
    <row r="11" spans="1:17" ht="24.95" customHeight="1" x14ac:dyDescent="0.2">
      <c r="A11" s="9" t="str">
        <v>847</v>
      </c>
      <c r="B11" s="9" t="str">
        <v>נס ציונה נס/132</v>
      </c>
      <c r="C11" s="9" t="str">
        <v>3848 3750</v>
      </c>
      <c r="D11" s="9">
        <v>0</v>
      </c>
      <c r="E11" s="9" t="str">
        <v>96-100/04</v>
      </c>
      <c r="F11" s="9" t="str">
        <v>תל אביב</v>
      </c>
      <c r="G11" s="9" t="str">
        <v>530-534/04</v>
      </c>
      <c r="H11" s="9" t="str">
        <v>כשר לרישום</v>
      </c>
      <c r="I11" s="9" t="str">
        <v>V</v>
      </c>
      <c r="J11" s="9">
        <v>5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</row>
    <row r="12" spans="1:17" ht="24.95" customHeight="1" x14ac:dyDescent="0.2">
      <c r="A12" s="9">
        <v>935</v>
      </c>
      <c r="B12" s="9" t="str">
        <v>בני דרום</v>
      </c>
      <c r="C12" s="9" t="str">
        <v>196,985,986</v>
      </c>
      <c r="D12" s="9">
        <v>0</v>
      </c>
      <c r="E12" s="9" t="str">
        <v>237-240/2002</v>
      </c>
      <c r="F12" s="9" t="str">
        <v>תל אביב</v>
      </c>
      <c r="G12" s="9" t="str">
        <v>592-595/2002</v>
      </c>
      <c r="H12" s="9" t="str">
        <v>כשר לרישום</v>
      </c>
      <c r="I12" s="9" t="str">
        <v>V</v>
      </c>
      <c r="J12" s="9">
        <v>4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</row>
    <row r="13" spans="1:17" ht="24.95" customHeight="1" x14ac:dyDescent="0.2">
      <c r="A13" s="9">
        <v>10078</v>
      </c>
      <c r="B13" s="9" t="str">
        <v>עינת מאפיה תצר</v>
      </c>
      <c r="C13" s="9" t="str">
        <v>4779-4781</v>
      </c>
      <c r="D13" s="9">
        <v>0</v>
      </c>
      <c r="E13" s="9" t="str">
        <v>308-310/2003</v>
      </c>
      <c r="F13" s="9" t="str">
        <v>תל אביב</v>
      </c>
      <c r="G13" s="9" t="str">
        <v>1118-1120/2003</v>
      </c>
      <c r="H13" s="9" t="str">
        <v>כשר לרישום</v>
      </c>
      <c r="I13" s="9" t="str">
        <v>V</v>
      </c>
      <c r="J13" s="9">
        <v>3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</row>
    <row r="14" spans="1:17" ht="24.95" customHeight="1" x14ac:dyDescent="0.2">
      <c r="A14" s="9">
        <v>10434</v>
      </c>
      <c r="B14" s="9" t="str">
        <v>רחובות אמירי רחובות</v>
      </c>
      <c r="C14" s="9" t="str">
        <v>3648</v>
      </c>
      <c r="D14" s="9" t="str">
        <v>3,249</v>
      </c>
      <c r="E14" s="9" t="str">
        <v>25/2002</v>
      </c>
      <c r="F14" s="9" t="str">
        <v>תל אביב</v>
      </c>
      <c r="G14" s="9" t="str">
        <v>357/2002</v>
      </c>
      <c r="H14" s="9" t="str">
        <v>כשר לרישום</v>
      </c>
      <c r="I14" s="9" t="str">
        <v>V</v>
      </c>
      <c r="J14" s="9">
        <v>1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</row>
    <row r="15" spans="1:17" ht="24.95" customHeight="1" x14ac:dyDescent="0.2">
      <c r="A15" s="9">
        <v>10434</v>
      </c>
      <c r="B15" s="9" t="str">
        <v>רחובות אמירי רחובות</v>
      </c>
      <c r="C15" s="9" t="str">
        <v>3648</v>
      </c>
      <c r="D15" s="9" t="str">
        <v>[295]</v>
      </c>
      <c r="E15" s="9" t="str">
        <v>312/2003</v>
      </c>
      <c r="F15" s="9" t="str">
        <v>תל אביב</v>
      </c>
      <c r="G15" s="9" t="str">
        <v>969/2003</v>
      </c>
      <c r="H15" s="9" t="str">
        <v>כשר לרישום</v>
      </c>
      <c r="I15" s="9" t="str">
        <v>V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</row>
    <row r="16" spans="1:17" ht="24.95" customHeight="1" x14ac:dyDescent="0.2">
      <c r="A16" s="9">
        <v>10493</v>
      </c>
      <c r="B16" s="9" t="str">
        <v>כפר עזה</v>
      </c>
      <c r="C16" s="9" t="str">
        <v>901, 902</v>
      </c>
      <c r="D16" s="9" t="str">
        <v>קטיה גרמן</v>
      </c>
      <c r="E16" s="9" t="str">
        <v>13-14/2002</v>
      </c>
      <c r="F16" s="9" t="str">
        <v>דרום</v>
      </c>
      <c r="G16" s="9" t="str">
        <v>21-22/2003</v>
      </c>
      <c r="H16" s="9" t="str">
        <v>כשר לרישום</v>
      </c>
      <c r="I16" s="9" t="str">
        <v>V</v>
      </c>
      <c r="J16" s="9">
        <v>2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</row>
    <row r="17" spans="1:17" ht="24.95" customHeight="1" x14ac:dyDescent="0.2">
      <c r="A17" s="9">
        <v>10685</v>
      </c>
      <c r="B17" s="9" t="str">
        <v>יסודות</v>
      </c>
      <c r="C17" s="9" t="str">
        <v>3915</v>
      </c>
      <c r="D17" s="9">
        <v>0</v>
      </c>
      <c r="E17" s="9" t="str">
        <v>52-53/06</v>
      </c>
      <c r="F17" s="9" t="str">
        <v>תל אביב</v>
      </c>
      <c r="G17" s="9" t="str">
        <v>321-322/2006</v>
      </c>
      <c r="H17" s="9" t="str">
        <v>כשר לרישום</v>
      </c>
      <c r="I17" s="9" t="str">
        <v>V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</row>
    <row r="18" spans="1:17" ht="24.95" customHeight="1" x14ac:dyDescent="0.2">
      <c r="A18" s="9">
        <v>10729</v>
      </c>
      <c r="B18" s="9" t="str">
        <v>הרצליה הר/1706 א</v>
      </c>
      <c r="C18" s="9">
        <v>6543</v>
      </c>
      <c r="D18" s="9" t="str">
        <v>4-6,10,24</v>
      </c>
      <c r="E18" s="9" t="str">
        <v>110/2002</v>
      </c>
      <c r="F18" s="9" t="str">
        <v>תל אביב</v>
      </c>
      <c r="G18" s="9" t="str">
        <v>530/2002</v>
      </c>
      <c r="H18" s="9" t="str">
        <v>כשר לרישום</v>
      </c>
      <c r="I18" s="9" t="str">
        <v>V</v>
      </c>
      <c r="J18" s="9">
        <v>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</row>
    <row r="19" spans="1:17" ht="24.95" customHeight="1" x14ac:dyDescent="0.2">
      <c r="A19" s="9">
        <v>10931</v>
      </c>
      <c r="B19" s="9" t="str">
        <v>סתריה קרית חינוך</v>
      </c>
      <c r="C19" s="9" t="str">
        <v>3706,3709,3794,4752</v>
      </c>
      <c r="D19" s="9">
        <v>0</v>
      </c>
      <c r="E19" s="9" t="str">
        <v>381-384/2003</v>
      </c>
      <c r="F19" s="9" t="str">
        <v>תל אביב</v>
      </c>
      <c r="G19" s="9" t="str">
        <v>6-9/2004</v>
      </c>
      <c r="H19" s="9" t="str">
        <v>כשר לרישום</v>
      </c>
      <c r="I19" s="9" t="str">
        <v>V</v>
      </c>
      <c r="J19" s="9">
        <v>4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</row>
    <row r="20" spans="1:17" ht="24.95" customHeight="1" x14ac:dyDescent="0.2">
      <c r="A20" s="9">
        <v>20130</v>
      </c>
      <c r="B20" s="9" t="str">
        <v>גני תקוה מתחם מרגולין</v>
      </c>
      <c r="C20" s="9" t="str">
        <v>6717</v>
      </c>
      <c r="D20" s="9">
        <v>0</v>
      </c>
      <c r="E20" s="9" t="str">
        <v>81/2004</v>
      </c>
      <c r="F20" s="9" t="str">
        <v>תל אביב</v>
      </c>
      <c r="G20" s="9" t="str">
        <v>729/04</v>
      </c>
      <c r="H20" s="9" t="str">
        <v>כשר לרישום</v>
      </c>
      <c r="I20" s="9" t="str">
        <v>V</v>
      </c>
      <c r="J20" s="9">
        <v>1</v>
      </c>
      <c r="K20" s="9" t="str">
        <v>נטלי</v>
      </c>
      <c r="L20" s="9">
        <v>0</v>
      </c>
      <c r="M20" s="9" t="str">
        <v>אירנה איטקיס</v>
      </c>
      <c r="N20" s="9">
        <v>0</v>
      </c>
      <c r="O20" s="9">
        <v>0</v>
      </c>
      <c r="P20" s="9">
        <v>0</v>
      </c>
      <c r="Q20" s="9">
        <v>0</v>
      </c>
    </row>
    <row r="21" spans="1:17" ht="24.95" customHeight="1" x14ac:dyDescent="0.2">
      <c r="A21" s="9">
        <v>20184</v>
      </c>
      <c r="B21" s="9" t="str">
        <v>טבריה נוף  כנרת</v>
      </c>
      <c r="C21" s="9" t="str">
        <v>15051  15249</v>
      </c>
      <c r="D21" s="9">
        <v>0</v>
      </c>
      <c r="E21" s="9" t="str">
        <v>196-199/2002</v>
      </c>
      <c r="F21" s="9" t="str">
        <v>חיפה</v>
      </c>
      <c r="G21" s="9" t="str">
        <v>491-494/2003</v>
      </c>
      <c r="H21" s="9" t="str">
        <v>כשר לרישום</v>
      </c>
      <c r="I21" s="9" t="str">
        <v>V</v>
      </c>
      <c r="J21" s="9">
        <v>4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</row>
    <row r="22" spans="1:17" ht="24.95" customHeight="1" x14ac:dyDescent="0.2">
      <c r="A22" s="9">
        <v>20330</v>
      </c>
      <c r="B22" s="9" t="str">
        <v>שדרות שער הנגב</v>
      </c>
      <c r="C22" s="9" t="str">
        <v>760,1888,1889,1900,1898</v>
      </c>
      <c r="D22" s="9">
        <v>0</v>
      </c>
      <c r="E22" s="9" t="str">
        <v>32-37/04</v>
      </c>
      <c r="F22" s="9" t="str">
        <v>דרום</v>
      </c>
      <c r="G22" s="9" t="str">
        <v>569-574/04</v>
      </c>
      <c r="H22" s="9" t="str">
        <v>כשר לרישום</v>
      </c>
      <c r="I22" s="9" t="str">
        <v>V</v>
      </c>
      <c r="J22" s="9">
        <v>6</v>
      </c>
      <c r="K22" s="9" t="str">
        <v>אלה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</row>
    <row r="23" spans="1:17" ht="24.95" customHeight="1" x14ac:dyDescent="0.2">
      <c r="A23" s="9">
        <v>20350</v>
      </c>
      <c r="B23" s="9" t="str">
        <v>גבעת שמואל</v>
      </c>
      <c r="C23" s="9">
        <v>6392</v>
      </c>
      <c r="D23" s="9" t="str">
        <v>3,4</v>
      </c>
      <c r="E23" s="9" t="str">
        <v>388/2002</v>
      </c>
      <c r="F23" s="9" t="str">
        <v>תל אביב</v>
      </c>
      <c r="G23" s="9" t="str">
        <v>549/2003</v>
      </c>
      <c r="H23" s="9" t="str">
        <v>כשר לרישום</v>
      </c>
      <c r="I23" s="9" t="str">
        <v>V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</row>
    <row r="24" spans="1:17" ht="24.95" customHeight="1" x14ac:dyDescent="0.2">
      <c r="A24" s="9">
        <v>20525</v>
      </c>
      <c r="B24" s="9" t="str">
        <v>כפר מנחם שיוך</v>
      </c>
      <c r="C24" s="9" t="str">
        <v>2707</v>
      </c>
      <c r="D24" s="9" t="str">
        <v>5, 7, 16, 17, 18, 22, 25, 26;</v>
      </c>
      <c r="E24" s="9">
        <v>0</v>
      </c>
      <c r="F24" s="9" t="str">
        <v>דרום</v>
      </c>
      <c r="G24" s="9" t="str">
        <v>1332-1333/08</v>
      </c>
      <c r="H24" s="9" t="str">
        <v>מחוז</v>
      </c>
      <c r="I24" s="9" t="str">
        <v>V</v>
      </c>
      <c r="J24" s="9">
        <v>2</v>
      </c>
      <c r="K24" s="9" t="str">
        <v>קטי</v>
      </c>
      <c r="L24" s="9">
        <v>0</v>
      </c>
      <c r="M24" s="9" t="str">
        <v>סרגי זלצמן</v>
      </c>
      <c r="N24" s="9">
        <v>0</v>
      </c>
      <c r="O24" s="9">
        <v>0</v>
      </c>
      <c r="P24" s="9">
        <v>0</v>
      </c>
      <c r="Q24" s="9">
        <v>0</v>
      </c>
    </row>
    <row r="25" spans="1:17" ht="24.95" customHeight="1" x14ac:dyDescent="0.2">
      <c r="A25" s="9">
        <v>20587</v>
      </c>
      <c r="B25" s="9" t="str">
        <v>הרצליה כביש הואדי</v>
      </c>
      <c r="C25" s="9" t="str">
        <v>6590,6592 ועוד</v>
      </c>
      <c r="D25" s="9">
        <v>0</v>
      </c>
      <c r="E25" s="9">
        <v>0</v>
      </c>
      <c r="F25" s="9" t="str">
        <v>תל אביב</v>
      </c>
      <c r="G25" s="9" t="str">
        <v>62-66/07</v>
      </c>
      <c r="H25" s="9" t="str">
        <v>כשר לרישום</v>
      </c>
      <c r="I25" s="9" t="str">
        <v>V</v>
      </c>
      <c r="J25" s="9">
        <v>5</v>
      </c>
      <c r="K25" s="9" t="str">
        <v>נטלי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</row>
    <row r="26" spans="1:17" ht="24.95" customHeight="1" x14ac:dyDescent="0.2">
      <c r="A26" s="9">
        <v>20661</v>
      </c>
      <c r="B26" s="9" t="str">
        <v>אחיסמך הגדולה</v>
      </c>
      <c r="C26" s="9">
        <v>0</v>
      </c>
      <c r="D26" s="9">
        <v>0</v>
      </c>
      <c r="E26" s="9" t="str">
        <v>פר' 16296</v>
      </c>
      <c r="F26" s="9" t="str">
        <v>תל אביב</v>
      </c>
      <c r="G26" s="9" t="str">
        <v>113-122/07</v>
      </c>
      <c r="H26" s="9" t="str">
        <v>כשר לרישום</v>
      </c>
      <c r="I26" s="9" t="str">
        <v>V</v>
      </c>
      <c r="J26" s="9">
        <v>10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</row>
    <row r="27" spans="1:17" ht="24.95" customHeight="1" x14ac:dyDescent="0.2">
      <c r="A27" s="9">
        <v>20781</v>
      </c>
      <c r="B27" s="9" t="str">
        <v>גני תקוה גנים צפון</v>
      </c>
      <c r="C27" s="9" t="str">
        <v>6717</v>
      </c>
      <c r="D27" s="9" t="str">
        <v>35, 36, 37, 38, 39, 40, 41, 42, 43, 54, 58</v>
      </c>
      <c r="E27" s="9">
        <v>0</v>
      </c>
      <c r="F27" s="9" t="str">
        <v>תל אביב</v>
      </c>
      <c r="G27" s="9" t="str">
        <v>241/08</v>
      </c>
      <c r="H27" s="9" t="str">
        <v>כשר לרישום</v>
      </c>
      <c r="I27" s="9" t="str">
        <v>V</v>
      </c>
      <c r="J27" s="9">
        <v>1</v>
      </c>
      <c r="K27" s="9" t="str">
        <v>אלה</v>
      </c>
      <c r="L27" s="9">
        <v>0</v>
      </c>
      <c r="M27" s="9" t="str">
        <v>אירנה איטקיס</v>
      </c>
      <c r="N27" s="9">
        <v>0</v>
      </c>
      <c r="O27" s="9">
        <v>0</v>
      </c>
      <c r="P27" s="9">
        <v>0</v>
      </c>
      <c r="Q27" s="9">
        <v>0</v>
      </c>
    </row>
    <row r="28" spans="1:17" ht="24.95" customHeight="1" x14ac:dyDescent="0.2">
      <c r="A28" s="9">
        <v>20816</v>
      </c>
      <c r="B28" s="9" t="str">
        <v>גילה תיקון תצר</v>
      </c>
      <c r="C28" s="9" t="str">
        <v>28116</v>
      </c>
      <c r="D28" s="9">
        <v>0</v>
      </c>
      <c r="E28" s="9" t="str">
        <v xml:space="preserve">בלינקולן מ- 07/2007 </v>
      </c>
      <c r="F28" s="9" t="str">
        <v>ירושלים</v>
      </c>
      <c r="G28" s="9" t="str">
        <v>984/07  1006/07</v>
      </c>
      <c r="H28" s="9" t="str">
        <v>כשר לרישום</v>
      </c>
      <c r="I28" s="9" t="str">
        <v>V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</row>
    <row r="29" spans="1:17" ht="24.95" customHeight="1" x14ac:dyDescent="0.2">
      <c r="A29" s="9">
        <v>20829</v>
      </c>
      <c r="B29" s="9" t="str">
        <v>תל אביב כפר שלם תיקון תצ"ר</v>
      </c>
      <c r="C29" s="9" t="str">
        <v>,ואחרים6152,6130,6129,6146,</v>
      </c>
      <c r="D29" s="9">
        <v>0</v>
      </c>
      <c r="E29" s="9">
        <v>0</v>
      </c>
      <c r="F29" s="9">
        <v>0</v>
      </c>
      <c r="G29" s="9" t="str">
        <v>516-530/2003</v>
      </c>
      <c r="H29" s="9" t="str">
        <v>כשר לרישום</v>
      </c>
      <c r="I29" s="9" t="str">
        <v>V</v>
      </c>
      <c r="J29" s="9">
        <v>15</v>
      </c>
      <c r="K29" s="9" t="str">
        <v>אלה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</row>
    <row r="30" spans="1:17" ht="24.95" customHeight="1" x14ac:dyDescent="0.2">
      <c r="A30" s="9">
        <v>20844</v>
      </c>
      <c r="B30" s="9" t="str">
        <v>ראש העין דנישרא</v>
      </c>
      <c r="C30" s="9">
        <v>5486</v>
      </c>
      <c r="D30" s="9" t="str">
        <v>4   עד  15</v>
      </c>
      <c r="E30" s="9">
        <v>0</v>
      </c>
      <c r="F30" s="9">
        <v>0</v>
      </c>
      <c r="G30" s="9" t="str">
        <v>01/2003</v>
      </c>
      <c r="H30" s="9" t="str">
        <v>כשר לרישום</v>
      </c>
      <c r="I30" s="9" t="str">
        <v>V</v>
      </c>
      <c r="J30" s="9">
        <v>1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</row>
    <row r="31" spans="1:17" ht="24.95" customHeight="1" x14ac:dyDescent="0.2">
      <c r="A31" s="9">
        <v>30011</v>
      </c>
      <c r="B31" s="9" t="str">
        <v>כרכור טלי הורוביץ</v>
      </c>
      <c r="C31" s="9" t="str">
        <v>10073</v>
      </c>
      <c r="D31" s="9" t="str">
        <v>63 64 310 311 , 88</v>
      </c>
      <c r="E31" s="9">
        <v>0</v>
      </c>
      <c r="F31" s="9" t="str">
        <v>חיפה</v>
      </c>
      <c r="G31" s="9" t="str">
        <v>240-241/2010</v>
      </c>
      <c r="H31" s="9" t="str">
        <v>כשר לרישום</v>
      </c>
      <c r="I31" s="9" t="str">
        <v>V</v>
      </c>
      <c r="J31" s="9">
        <v>2</v>
      </c>
      <c r="K31" s="9" t="str">
        <v>תמרה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</row>
    <row r="32" spans="1:17" ht="24.95" customHeight="1" x14ac:dyDescent="0.2">
      <c r="A32" s="9">
        <v>30029</v>
      </c>
      <c r="B32" s="9" t="str">
        <v>ירושלים הר הצופים</v>
      </c>
      <c r="C32" s="9" t="str">
        <v>30000</v>
      </c>
      <c r="D32" s="9" t="str">
        <v>נמסר</v>
      </c>
      <c r="E32" s="9" t="str">
        <v>148,149,164/04</v>
      </c>
      <c r="F32" s="9" t="str">
        <v>ירושלים</v>
      </c>
      <c r="G32" s="9" t="str">
        <v>307-309/2006</v>
      </c>
      <c r="H32" s="9" t="str">
        <v>כשר לרישום</v>
      </c>
      <c r="I32" s="9" t="str">
        <v>V</v>
      </c>
      <c r="J32" s="9">
        <v>3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</row>
    <row r="33" spans="1:17" ht="24.95" customHeight="1" x14ac:dyDescent="0.2">
      <c r="A33" s="9">
        <v>30042</v>
      </c>
      <c r="B33" s="9" t="str">
        <v>יד בנימין</v>
      </c>
      <c r="C33" s="9" t="str">
        <v>4726,5446,4303</v>
      </c>
      <c r="D33" s="9">
        <v>0</v>
      </c>
      <c r="E33" s="9" t="str">
        <v>15-21/06 פר'14503</v>
      </c>
      <c r="F33" s="9" t="str">
        <v>תל אביב</v>
      </c>
      <c r="G33" s="9" t="str">
        <v>355-361/06</v>
      </c>
      <c r="H33" s="9" t="str">
        <v>כשר לרישום</v>
      </c>
      <c r="I33" s="9" t="str">
        <v>V</v>
      </c>
      <c r="J33" s="9">
        <v>7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</row>
    <row r="34" spans="1:17" ht="24.95" customHeight="1" x14ac:dyDescent="0.2">
      <c r="A34" s="9">
        <v>30044</v>
      </c>
      <c r="B34" s="9" t="str">
        <v>קדרים</v>
      </c>
      <c r="C34" s="9" t="str">
        <v>15527</v>
      </c>
      <c r="D34" s="9" t="str">
        <v>43</v>
      </c>
      <c r="E34" s="9" t="str">
        <v>214/04</v>
      </c>
      <c r="F34" s="9" t="str">
        <v>חיפה</v>
      </c>
      <c r="G34" s="9" t="str">
        <v>1324/2005</v>
      </c>
      <c r="H34" s="9" t="str">
        <v>כשר לרישום</v>
      </c>
      <c r="I34" s="9" t="str">
        <v>V</v>
      </c>
      <c r="J34" s="9">
        <v>1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</row>
    <row r="35" spans="1:17" ht="24.95" customHeight="1" x14ac:dyDescent="0.2">
      <c r="A35" s="9">
        <v>30258</v>
      </c>
      <c r="B35" s="9" t="str">
        <v>לוד גני יער D,E</v>
      </c>
      <c r="C35" s="9" t="str">
        <v>4015,4016</v>
      </c>
      <c r="D35" s="9">
        <v>0</v>
      </c>
      <c r="E35" s="9" t="str">
        <v>57-59/2004</v>
      </c>
      <c r="F35" s="9" t="str">
        <v>תל אביב</v>
      </c>
      <c r="G35" s="9" t="str">
        <v>418-420/04</v>
      </c>
      <c r="H35" s="9" t="str">
        <v>כשר לרישום</v>
      </c>
      <c r="I35" s="9" t="str">
        <v>V</v>
      </c>
      <c r="J35" s="9">
        <v>3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</row>
    <row r="36" spans="1:17" ht="24.95" customHeight="1" x14ac:dyDescent="0.2">
      <c r="A36" s="9">
        <v>30292</v>
      </c>
      <c r="B36" s="9" t="str">
        <v>חגור</v>
      </c>
      <c r="C36" s="9" t="str">
        <v>8894</v>
      </c>
      <c r="D36" s="9" t="str">
        <v>42</v>
      </c>
      <c r="E36" s="9" t="str">
        <v>218/04</v>
      </c>
      <c r="F36" s="9" t="str">
        <v>תל אביב</v>
      </c>
      <c r="G36" s="9" t="str">
        <v>929/04</v>
      </c>
      <c r="H36" s="9" t="str">
        <v>כשר לרישום</v>
      </c>
      <c r="I36" s="9" t="str">
        <v>V</v>
      </c>
      <c r="J36" s="9">
        <v>1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</row>
    <row r="37" spans="1:17" ht="24.95" customHeight="1" x14ac:dyDescent="0.2">
      <c r="A37" s="9">
        <v>30308</v>
      </c>
      <c r="B37" s="9" t="str">
        <v>סתריה תחנת הדלק</v>
      </c>
      <c r="C37" s="9">
        <v>3691</v>
      </c>
      <c r="D37" s="9" t="str">
        <v>11,17,18</v>
      </c>
      <c r="E37" s="9" t="str">
        <v>0615-09-03-01</v>
      </c>
      <c r="F37" s="9" t="str">
        <v>תל אביב</v>
      </c>
      <c r="G37" s="9" t="str">
        <v>966/2009</v>
      </c>
      <c r="H37" s="9" t="str">
        <v>כשר לרישום</v>
      </c>
      <c r="I37" s="9" t="str">
        <v>V</v>
      </c>
      <c r="J37" s="9">
        <v>1</v>
      </c>
      <c r="K37" s="9" t="str">
        <v>תמרה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pans="1:17" ht="24.95" customHeight="1" x14ac:dyDescent="0.2">
      <c r="A38" s="9" t="str">
        <v>30336</v>
      </c>
      <c r="B38" s="9" t="str">
        <v>שריד לולים</v>
      </c>
      <c r="C38" s="9" t="str">
        <v>17414</v>
      </c>
      <c r="D38" s="9">
        <v>0</v>
      </c>
      <c r="E38" s="9" t="str">
        <v>48/2004</v>
      </c>
      <c r="F38" s="9" t="str">
        <v>חיפה</v>
      </c>
      <c r="G38" s="9" t="str">
        <v>319/04</v>
      </c>
      <c r="H38" s="9" t="str">
        <v>כשר לרישום</v>
      </c>
      <c r="I38" s="9" t="str">
        <v>V</v>
      </c>
      <c r="J38" s="9">
        <v>1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</row>
    <row r="39" spans="1:17" ht="24.95" customHeight="1" x14ac:dyDescent="0.2">
      <c r="A39" s="9">
        <v>30355</v>
      </c>
      <c r="B39" s="9" t="str">
        <v>גבעת ברנר אשדר</v>
      </c>
      <c r="C39" s="9" t="str">
        <v>2634</v>
      </c>
      <c r="D39" s="9" t="str">
        <v>20</v>
      </c>
      <c r="E39" s="9" t="str">
        <v>31-34/06</v>
      </c>
      <c r="F39" s="9" t="str">
        <v>תל אביב</v>
      </c>
      <c r="G39" s="9" t="str">
        <v>244-247/06</v>
      </c>
      <c r="H39" s="9" t="str">
        <v>כשר לרישום</v>
      </c>
      <c r="I39" s="9" t="str">
        <v>V</v>
      </c>
      <c r="J39" s="9">
        <v>4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</row>
    <row r="40" spans="1:17" ht="24.95" customHeight="1" x14ac:dyDescent="0.2">
      <c r="A40" s="9">
        <v>30431</v>
      </c>
      <c r="B40" s="9" t="str">
        <v>רמת השרון רש\במ\10</v>
      </c>
      <c r="C40" s="9" t="str">
        <v>6415</v>
      </c>
      <c r="D40" s="9" t="str">
        <v>312</v>
      </c>
      <c r="E40" s="9" t="str">
        <v>88/05</v>
      </c>
      <c r="F40" s="9" t="str">
        <v>תל אביב</v>
      </c>
      <c r="G40" s="9" t="str">
        <v>1311/05</v>
      </c>
      <c r="H40" s="9" t="str">
        <v>כשר לרישום</v>
      </c>
      <c r="I40" s="9" t="str">
        <v>V</v>
      </c>
      <c r="J40" s="9">
        <v>1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</row>
    <row r="41" spans="1:17" ht="24.95" customHeight="1" x14ac:dyDescent="0.2">
      <c r="A41" s="9">
        <v>30433</v>
      </c>
      <c r="B41" s="9" t="str">
        <v>ירושלים מורדות קרית יובל</v>
      </c>
      <c r="C41" s="9" t="str">
        <v>30397</v>
      </c>
      <c r="D41" s="9" t="str">
        <v>[4]</v>
      </c>
      <c r="E41" s="9">
        <v>0</v>
      </c>
      <c r="F41" s="9" t="str">
        <v>ירושלים</v>
      </c>
      <c r="G41" s="9" t="str">
        <v>962/08</v>
      </c>
      <c r="H41" s="9" t="str">
        <v>כשר לרישום</v>
      </c>
      <c r="I41" s="9" t="str">
        <v>V</v>
      </c>
      <c r="J41" s="9">
        <v>1</v>
      </c>
      <c r="K41" s="9" t="str">
        <v>תמרה</v>
      </c>
      <c r="L41" s="9">
        <v>0</v>
      </c>
      <c r="M41" s="9" t="str">
        <v>רונית</v>
      </c>
      <c r="N41" s="9">
        <v>0</v>
      </c>
      <c r="O41" s="9">
        <v>0</v>
      </c>
      <c r="P41" s="9">
        <v>0</v>
      </c>
      <c r="Q41" s="9">
        <v>0</v>
      </c>
    </row>
    <row r="42" spans="1:17" ht="24.95" customHeight="1" x14ac:dyDescent="0.2">
      <c r="A42" s="9">
        <v>30437</v>
      </c>
      <c r="B42" s="9" t="str">
        <v>גן יבנה 102 דימרי</v>
      </c>
      <c r="C42" s="9" t="str">
        <v>2768</v>
      </c>
      <c r="D42" s="9">
        <v>0</v>
      </c>
      <c r="E42" s="9">
        <v>0</v>
      </c>
      <c r="F42" s="9" t="str">
        <v>תל אביב</v>
      </c>
      <c r="G42" s="9" t="str">
        <v>212/07</v>
      </c>
      <c r="H42" s="9" t="str">
        <v>כשר לרישום</v>
      </c>
      <c r="I42" s="9" t="str">
        <v>V</v>
      </c>
      <c r="J42" s="9">
        <v>1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</row>
    <row r="43" spans="1:17" ht="24.95" customHeight="1" x14ac:dyDescent="0.2">
      <c r="A43" s="9">
        <v>30443</v>
      </c>
      <c r="B43" s="9" t="str">
        <v>גן יבנה חפציבה</v>
      </c>
      <c r="C43" s="9" t="str">
        <v>2768</v>
      </c>
      <c r="D43" s="9" t="str">
        <v>27,28,29,30,31,32,41,42,43,44,, 45,46,47,48,49,50,51,52,53,54</v>
      </c>
      <c r="E43" s="9">
        <v>0</v>
      </c>
      <c r="F43" s="9" t="str">
        <v>תל אביב</v>
      </c>
      <c r="G43" s="9" t="str">
        <v>111/07</v>
      </c>
      <c r="H43" s="9" t="str">
        <v>כשר לרישום</v>
      </c>
      <c r="I43" s="9" t="str">
        <v>V</v>
      </c>
      <c r="J43" s="9">
        <v>1</v>
      </c>
      <c r="K43" s="9" t="str">
        <v>תמרה</v>
      </c>
      <c r="L43" s="9">
        <v>0</v>
      </c>
      <c r="M43" s="9" t="str">
        <v>אנה רוזנברג</v>
      </c>
      <c r="N43" s="9">
        <v>0</v>
      </c>
      <c r="O43" s="9">
        <v>0</v>
      </c>
      <c r="P43" s="9">
        <v>0</v>
      </c>
      <c r="Q43" s="9">
        <v>0</v>
      </c>
    </row>
    <row r="44" spans="1:17" ht="24.95" customHeight="1" x14ac:dyDescent="0.2">
      <c r="A44" s="9">
        <v>30467</v>
      </c>
      <c r="B44" s="9" t="str">
        <v>אשקלון דסור</v>
      </c>
      <c r="C44" s="9" t="str">
        <v>1216</v>
      </c>
      <c r="D44" s="9">
        <v>0</v>
      </c>
      <c r="E44" s="9">
        <v>0</v>
      </c>
      <c r="F44" s="9" t="str">
        <v>תל אביב</v>
      </c>
      <c r="G44" s="9" t="str">
        <v>131-132/07</v>
      </c>
      <c r="H44" s="9" t="str">
        <v>כשר לרישום</v>
      </c>
      <c r="I44" s="9" t="str">
        <v>V</v>
      </c>
      <c r="J44" s="9">
        <v>2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</row>
    <row r="45" spans="1:17" ht="24.95" customHeight="1" x14ac:dyDescent="0.2">
      <c r="A45" s="9">
        <v>30517</v>
      </c>
      <c r="B45" s="9" t="str">
        <v>גבע שקדיה</v>
      </c>
      <c r="C45" s="9" t="str">
        <v>23176,23177</v>
      </c>
      <c r="D45" s="9">
        <v>0</v>
      </c>
      <c r="E45" s="9" t="str">
        <v>179-180/04</v>
      </c>
      <c r="F45" s="9" t="str">
        <v>חיפה</v>
      </c>
      <c r="G45" s="9" t="str">
        <v>858-859/05</v>
      </c>
      <c r="H45" s="9" t="str">
        <v>כשר לרישום</v>
      </c>
      <c r="I45" s="9" t="str">
        <v>V</v>
      </c>
      <c r="J45" s="9">
        <v>2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</row>
    <row r="46" spans="1:17" ht="24.95" customHeight="1" x14ac:dyDescent="0.2">
      <c r="A46" s="9">
        <v>30573</v>
      </c>
      <c r="B46" s="9" t="str">
        <v>הרצליה הר/1960</v>
      </c>
      <c r="C46" s="9" t="str">
        <v>6526 6536</v>
      </c>
      <c r="D46" s="9">
        <v>0</v>
      </c>
      <c r="E46" s="9" t="str">
        <v>26-28/05</v>
      </c>
      <c r="F46" s="9" t="str">
        <v>תל אביב</v>
      </c>
      <c r="G46" s="9" t="str">
        <v>154-156/05</v>
      </c>
      <c r="H46" s="9" t="str">
        <v>כשר לרישום</v>
      </c>
      <c r="I46" s="9" t="str">
        <v>V</v>
      </c>
      <c r="J46" s="9">
        <v>3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</row>
    <row r="47" spans="1:17" ht="24.95" customHeight="1" x14ac:dyDescent="0.2">
      <c r="A47" s="9">
        <v>30574</v>
      </c>
      <c r="B47" s="9" t="str">
        <v>גן יבנה 106 תיקון</v>
      </c>
      <c r="C47" s="9" t="str">
        <v>564,547,545,544</v>
      </c>
      <c r="D47" s="9">
        <v>0</v>
      </c>
      <c r="E47" s="9" t="str">
        <v>163-166/05</v>
      </c>
      <c r="F47" s="9" t="str">
        <v>תל אביב</v>
      </c>
      <c r="G47" s="9" t="str">
        <v>1537-1540/05  81/07</v>
      </c>
      <c r="H47" s="9" t="str">
        <v>כשר לרישום</v>
      </c>
      <c r="I47" s="9" t="str">
        <v>V</v>
      </c>
      <c r="J47" s="9">
        <v>5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</row>
    <row r="48" spans="1:17" ht="24.95" customHeight="1" x14ac:dyDescent="0.2">
      <c r="A48" s="9">
        <v>40006</v>
      </c>
      <c r="B48" s="9" t="str">
        <v>חיפה חלקה 78 בגוש 10870</v>
      </c>
      <c r="C48" s="9">
        <v>0</v>
      </c>
      <c r="D48" s="9">
        <v>0</v>
      </c>
      <c r="E48" s="9">
        <v>0</v>
      </c>
      <c r="F48" s="9" t="str">
        <v>חיפה</v>
      </c>
      <c r="G48" s="9">
        <v>0</v>
      </c>
      <c r="H48" s="9" t="str">
        <v>כשר לרישום</v>
      </c>
      <c r="I48" s="9" t="str">
        <v>V</v>
      </c>
      <c r="J48" s="9">
        <v>1</v>
      </c>
      <c r="K48" s="9" t="str">
        <v>נטלי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</row>
    <row r="49" spans="1:17" ht="24.95" customHeight="1" x14ac:dyDescent="0.2">
      <c r="A49" s="9">
        <v>40019</v>
      </c>
      <c r="B49" s="9" t="str">
        <v>נס ציונה חלקה 60</v>
      </c>
      <c r="C49" s="9" t="str">
        <v>3751</v>
      </c>
      <c r="D49" s="9" t="str">
        <v>60</v>
      </c>
      <c r="E49" s="9">
        <v>0</v>
      </c>
      <c r="F49" s="9" t="str">
        <v>תל אביב</v>
      </c>
      <c r="G49" s="9">
        <v>0</v>
      </c>
      <c r="H49" s="9" t="str">
        <v>נמסר למרטין וטרם נפתח תיק</v>
      </c>
      <c r="I49" s="9" t="str">
        <v>בוטל</v>
      </c>
      <c r="J49" s="9">
        <v>1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</row>
    <row r="50" spans="1:17" ht="24.95" customHeight="1" x14ac:dyDescent="0.2">
      <c r="A50" s="9">
        <v>40033</v>
      </c>
      <c r="B50" s="9" t="str">
        <v>בית גמליאל משבצת</v>
      </c>
      <c r="C50" s="9">
        <v>0</v>
      </c>
      <c r="D50" s="9">
        <v>0</v>
      </c>
      <c r="E50" s="9">
        <v>0</v>
      </c>
      <c r="F50" s="9" t="str">
        <v>לינקולן</v>
      </c>
      <c r="G50" s="9" t="str">
        <v>988-1011/08</v>
      </c>
      <c r="H50" s="9" t="str">
        <v>כשר לרישום</v>
      </c>
      <c r="I50" s="9" t="str">
        <v>V</v>
      </c>
      <c r="J50" s="9">
        <v>24</v>
      </c>
      <c r="K50" s="9" t="str">
        <v>אלה</v>
      </c>
      <c r="L50" s="9">
        <v>0</v>
      </c>
      <c r="M50" s="9" t="str">
        <v>מיכאל וינשטיין</v>
      </c>
      <c r="N50" s="9">
        <v>0</v>
      </c>
      <c r="O50" s="9">
        <v>0</v>
      </c>
      <c r="P50" s="9">
        <v>0</v>
      </c>
      <c r="Q50" s="9">
        <v>0</v>
      </c>
    </row>
    <row r="51" spans="1:17" ht="24.95" customHeight="1" x14ac:dyDescent="0.2">
      <c r="A51" s="9">
        <v>40187</v>
      </c>
      <c r="B51" s="9" t="str">
        <v>אור יהודה מאא 205</v>
      </c>
      <c r="C51" s="9" t="str">
        <v>7408</v>
      </c>
      <c r="D51" s="9" t="str">
        <v>77,81</v>
      </c>
      <c r="E51" s="9" t="str">
        <v>305-314/05</v>
      </c>
      <c r="F51" s="9" t="str">
        <v>תל אביב</v>
      </c>
      <c r="G51" s="9" t="str">
        <v>69-78/06</v>
      </c>
      <c r="H51" s="9" t="str">
        <v>כשר לרישום</v>
      </c>
      <c r="I51" s="9" t="str">
        <v>V</v>
      </c>
      <c r="J51" s="9">
        <v>10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</row>
    <row r="52" spans="1:17" ht="24.95" customHeight="1" x14ac:dyDescent="0.2">
      <c r="A52" s="9">
        <v>40313</v>
      </c>
      <c r="B52" s="9" t="str">
        <v>אבן שמואל</v>
      </c>
      <c r="C52" s="9" t="str">
        <v xml:space="preserve"> , 2899 , 2900, 3029 , 2982</v>
      </c>
      <c r="D52" s="9">
        <v>0</v>
      </c>
      <c r="E52" s="9">
        <v>0</v>
      </c>
      <c r="F52" s="9" t="str">
        <v>דרום</v>
      </c>
      <c r="G52" s="9" t="str">
        <v>335-338/06</v>
      </c>
      <c r="H52" s="9" t="str">
        <v>כשר לרישום</v>
      </c>
      <c r="I52" s="9" t="str">
        <v>V</v>
      </c>
      <c r="J52" s="9">
        <v>4</v>
      </c>
      <c r="K52" s="9" t="str">
        <v>תמרה</v>
      </c>
      <c r="L52" s="9">
        <v>0</v>
      </c>
      <c r="M52" s="9" t="str">
        <v>סרגי זלצמן</v>
      </c>
      <c r="N52" s="9">
        <v>0</v>
      </c>
      <c r="O52" s="9">
        <v>0</v>
      </c>
      <c r="P52" s="9">
        <v>0</v>
      </c>
      <c r="Q52" s="9">
        <v>0</v>
      </c>
    </row>
    <row r="53" spans="1:17" ht="24.95" customHeight="1" x14ac:dyDescent="0.2">
      <c r="A53" s="9">
        <v>40317</v>
      </c>
      <c r="B53" s="9" t="str">
        <v>זבדיאל</v>
      </c>
      <c r="C53" s="9" t="str">
        <v>2942</v>
      </c>
      <c r="D53" s="9" t="str">
        <v>47</v>
      </c>
      <c r="E53" s="9" t="str">
        <v>15/06</v>
      </c>
      <c r="F53" s="9" t="str">
        <v>דרום</v>
      </c>
      <c r="G53" s="9" t="str">
        <v>367/06</v>
      </c>
      <c r="H53" s="9" t="str">
        <v>כשר לרישום</v>
      </c>
      <c r="I53" s="9" t="str">
        <v>V</v>
      </c>
      <c r="J53" s="9">
        <v>1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</row>
    <row r="54" spans="1:17" ht="24.95" customHeight="1" x14ac:dyDescent="0.2">
      <c r="A54" s="9">
        <v>40414</v>
      </c>
      <c r="B54" s="9" t="str">
        <v>שדה צבי</v>
      </c>
      <c r="C54" s="9">
        <v>0</v>
      </c>
      <c r="D54" s="9">
        <v>0</v>
      </c>
      <c r="E54" s="9" t="str">
        <v>45/06</v>
      </c>
      <c r="F54" s="9" t="str">
        <v>דרום</v>
      </c>
      <c r="G54" s="9" t="str">
        <v>1620/06</v>
      </c>
      <c r="H54" s="9" t="str">
        <v>כשר לרישום</v>
      </c>
      <c r="I54" s="9" t="str">
        <v>V</v>
      </c>
      <c r="J54" s="9">
        <v>1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</row>
    <row r="55" spans="1:17" ht="24.95" customHeight="1" x14ac:dyDescent="0.2">
      <c r="A55" s="9" t="str">
        <v>40440</v>
      </c>
      <c r="B55" s="9" t="str">
        <v>שחר</v>
      </c>
      <c r="C55" s="9" t="str">
        <v>3090,3091,3060</v>
      </c>
      <c r="D55" s="9">
        <v>0</v>
      </c>
      <c r="E55" s="9" t="str">
        <v>1-3/07</v>
      </c>
      <c r="F55" s="9" t="str">
        <v>דרום</v>
      </c>
      <c r="G55" s="9" t="str">
        <v>485-487/07</v>
      </c>
      <c r="H55" s="9" t="str">
        <v>כשר לרישום</v>
      </c>
      <c r="I55" s="9" t="str">
        <v>V</v>
      </c>
      <c r="J55" s="9">
        <v>3</v>
      </c>
      <c r="K55" s="9" t="str">
        <v>תמרה</v>
      </c>
      <c r="L55" s="9">
        <v>0</v>
      </c>
      <c r="M55" s="9" t="str">
        <v>סרגי זלצמן</v>
      </c>
      <c r="N55" s="9">
        <v>0</v>
      </c>
      <c r="O55" s="9">
        <v>0</v>
      </c>
      <c r="P55" s="9">
        <v>0</v>
      </c>
      <c r="Q55" s="9">
        <v>0</v>
      </c>
    </row>
    <row r="56" spans="1:17" ht="24.95" customHeight="1" x14ac:dyDescent="0.2">
      <c r="A56" s="9">
        <v>40453</v>
      </c>
      <c r="B56" s="9" t="str">
        <v>פסגת זאב 8150</v>
      </c>
      <c r="C56" s="9" t="str">
        <v>30590</v>
      </c>
      <c r="D56" s="9">
        <v>0</v>
      </c>
      <c r="E56" s="9" t="str">
        <v>17493</v>
      </c>
      <c r="F56" s="9" t="str">
        <v>דוידובסקי</v>
      </c>
      <c r="G56" s="9" t="str">
        <v>666-667/08</v>
      </c>
      <c r="H56" s="9" t="str">
        <v>כשר לרישום</v>
      </c>
      <c r="I56" s="9" t="str">
        <v>V</v>
      </c>
      <c r="J56" s="9">
        <v>2</v>
      </c>
      <c r="K56" s="9" t="str">
        <v>אלה</v>
      </c>
      <c r="L56" s="9">
        <v>0</v>
      </c>
      <c r="M56" s="9" t="str">
        <v>דוידובסקי</v>
      </c>
      <c r="N56" s="9" t="str">
        <v>נרשם בטאבו ויש מס' סופיים</v>
      </c>
      <c r="O56" s="9">
        <v>0</v>
      </c>
      <c r="P56" s="9">
        <v>0</v>
      </c>
      <c r="Q56" s="9">
        <v>0</v>
      </c>
    </row>
    <row r="57" spans="1:17" ht="24.95" customHeight="1" x14ac:dyDescent="0.2">
      <c r="A57" s="9">
        <v>40489</v>
      </c>
      <c r="B57" s="9" t="str">
        <v>יהוד קרית הסביונים</v>
      </c>
      <c r="C57" s="9" t="str">
        <v>6809</v>
      </c>
      <c r="D57" s="9" t="str">
        <v>7,122</v>
      </c>
      <c r="E57" s="9" t="str">
        <v>132/05</v>
      </c>
      <c r="F57" s="9" t="str">
        <v>תל אביב</v>
      </c>
      <c r="G57" s="9">
        <v>0</v>
      </c>
      <c r="H57" s="9" t="str">
        <v>כשר לרישום</v>
      </c>
      <c r="I57" s="9" t="str">
        <v>V</v>
      </c>
      <c r="J57" s="9">
        <v>1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</row>
    <row r="58" spans="1:17" ht="24.95" customHeight="1" x14ac:dyDescent="0.2">
      <c r="A58" s="9" t="str">
        <v>40568</v>
      </c>
      <c r="B58" s="9" t="str">
        <v>כפר מנחם הרחבה</v>
      </c>
      <c r="C58" s="9" t="str">
        <v>2706,2708</v>
      </c>
      <c r="D58" s="9">
        <v>0</v>
      </c>
      <c r="E58" s="9" t="str">
        <v>46-48/06</v>
      </c>
      <c r="F58" s="9" t="str">
        <v>דרום</v>
      </c>
      <c r="G58" s="9" t="str">
        <v>1617-1619/06</v>
      </c>
      <c r="H58" s="9" t="str">
        <v>כשר לרישום</v>
      </c>
      <c r="I58" s="9" t="str">
        <v>V</v>
      </c>
      <c r="J58" s="9">
        <v>3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</row>
    <row r="59" spans="1:17" ht="24.95" customHeight="1" x14ac:dyDescent="0.2">
      <c r="A59" s="9">
        <v>40633</v>
      </c>
      <c r="B59" s="9" t="str">
        <v>ירושלים הר הרצל</v>
      </c>
      <c r="C59" s="9" t="str">
        <v>30345</v>
      </c>
      <c r="D59" s="9" t="str">
        <v>5,2</v>
      </c>
      <c r="E59" s="9" t="str">
        <v>212/2005</v>
      </c>
      <c r="F59" s="9" t="str">
        <v>ירושלים</v>
      </c>
      <c r="G59" s="9" t="str">
        <v>671/2006</v>
      </c>
      <c r="H59" s="9" t="str">
        <v>כשר לרישום</v>
      </c>
      <c r="I59" s="9" t="str">
        <v>V</v>
      </c>
      <c r="J59" s="9">
        <v>1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</row>
    <row r="60" spans="1:17" ht="24.95" customHeight="1" x14ac:dyDescent="0.2">
      <c r="A60" s="9">
        <v>40639</v>
      </c>
      <c r="B60" s="9" t="str">
        <v>נס ציונה הוסטל</v>
      </c>
      <c r="C60" s="9" t="str">
        <v>3641</v>
      </c>
      <c r="D60" s="9" t="str">
        <v>57,155,368</v>
      </c>
      <c r="E60" s="9" t="str">
        <v>97/06</v>
      </c>
      <c r="F60" s="9" t="str">
        <v>תל אביב</v>
      </c>
      <c r="G60" s="9" t="str">
        <v>658/06</v>
      </c>
      <c r="H60" s="9" t="str">
        <v>כשר לרישום</v>
      </c>
      <c r="I60" s="9" t="str">
        <v>V</v>
      </c>
      <c r="J60" s="9">
        <v>1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</row>
    <row r="61" spans="1:17" ht="24.95" customHeight="1" x14ac:dyDescent="0.2">
      <c r="A61" s="9">
        <v>40639</v>
      </c>
      <c r="B61" s="9" t="str">
        <v>קרית אונו הוסטל</v>
      </c>
      <c r="C61" s="9" t="str">
        <v>6490</v>
      </c>
      <c r="D61" s="9">
        <v>0</v>
      </c>
      <c r="E61" s="9" t="str">
        <v>215/06</v>
      </c>
      <c r="F61" s="9" t="str">
        <v>תל אביב</v>
      </c>
      <c r="G61" s="9" t="str">
        <v>1114/06</v>
      </c>
      <c r="H61" s="9" t="str">
        <v>כשר לרישום</v>
      </c>
      <c r="I61" s="9" t="str">
        <v>V</v>
      </c>
      <c r="J61" s="9">
        <v>1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</row>
    <row r="62" spans="1:17" ht="24.95" customHeight="1" x14ac:dyDescent="0.2">
      <c r="A62" s="9" t="str">
        <v>40676</v>
      </c>
      <c r="B62" s="9" t="str">
        <v>אשקלון מרכז נפתי</v>
      </c>
      <c r="C62" s="9" t="str">
        <v>1931</v>
      </c>
      <c r="D62" s="9" t="str">
        <v>69,129</v>
      </c>
      <c r="E62" s="9" t="str">
        <v>328/06</v>
      </c>
      <c r="F62" s="9" t="str">
        <v>תל אביב</v>
      </c>
      <c r="G62" s="9" t="str">
        <v>32/07</v>
      </c>
      <c r="H62" s="9" t="str">
        <v>כשר לרישום</v>
      </c>
      <c r="I62" s="9" t="str">
        <v>V</v>
      </c>
      <c r="J62" s="9">
        <v>1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</row>
    <row r="63" spans="1:17" ht="24.95" customHeight="1" x14ac:dyDescent="0.2">
      <c r="A63" s="9">
        <v>50086</v>
      </c>
      <c r="B63" s="9" t="str">
        <v>ביקורת גני יהודה</v>
      </c>
      <c r="C63" s="9" t="str">
        <v>6498</v>
      </c>
      <c r="D63" s="9" t="str">
        <v>210</v>
      </c>
      <c r="E63" s="9" t="str">
        <v>פרויקט ביקורת מפי 13301</v>
      </c>
      <c r="F63" s="9">
        <v>0</v>
      </c>
      <c r="G63" s="9">
        <v>0</v>
      </c>
      <c r="H63" s="9" t="str">
        <v>כשר לרישום</v>
      </c>
      <c r="I63" s="9" t="str">
        <v>V</v>
      </c>
      <c r="J63" s="9">
        <v>1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</row>
    <row r="64" spans="1:17" ht="24.95" customHeight="1" x14ac:dyDescent="0.2">
      <c r="A64" s="9">
        <v>50089</v>
      </c>
      <c r="B64" s="9" t="str">
        <v>תל אביב חלקה 66</v>
      </c>
      <c r="C64" s="9" t="str">
        <v>6135</v>
      </c>
      <c r="D64" s="9" t="str">
        <v>66</v>
      </c>
      <c r="E64" s="9" t="str">
        <v>95/06</v>
      </c>
      <c r="F64" s="9" t="str">
        <v>תל אביב</v>
      </c>
      <c r="G64" s="9" t="str">
        <v>593/2006</v>
      </c>
      <c r="H64" s="9" t="str">
        <v>כשר לרישום</v>
      </c>
      <c r="I64" s="9" t="str">
        <v>V</v>
      </c>
      <c r="J64" s="9">
        <v>1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</row>
    <row r="65" spans="1:17" ht="24.95" customHeight="1" x14ac:dyDescent="0.2">
      <c r="A65" s="9">
        <v>50117</v>
      </c>
      <c r="B65" s="9" t="str">
        <v>טירת הכרמל</v>
      </c>
      <c r="C65" s="9" t="str">
        <v>10678 , 12540</v>
      </c>
      <c r="D65" s="9">
        <v>0</v>
      </c>
      <c r="E65" s="9" t="str">
        <v>112-115/07</v>
      </c>
      <c r="F65" s="9" t="str">
        <v>חיפה</v>
      </c>
      <c r="G65" s="9" t="str">
        <v>892-895/07</v>
      </c>
      <c r="H65" s="9" t="str">
        <v>כשר לרישום</v>
      </c>
      <c r="I65" s="9" t="str">
        <v>V</v>
      </c>
      <c r="J65" s="9">
        <v>4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</row>
    <row r="66" spans="1:17" ht="24.95" customHeight="1" x14ac:dyDescent="0.2">
      <c r="A66" s="9">
        <v>50167</v>
      </c>
      <c r="B66" s="9" t="str">
        <v>אשקלון תצר אכא מילניום</v>
      </c>
      <c r="C66" s="9" t="str">
        <v>1942</v>
      </c>
      <c r="D66" s="9" t="str">
        <v>86,89,167</v>
      </c>
      <c r="E66" s="9">
        <v>0</v>
      </c>
      <c r="F66" s="9" t="str">
        <v>תל אביב</v>
      </c>
      <c r="G66" s="9" t="str">
        <v>26/09</v>
      </c>
      <c r="H66" s="9" t="str">
        <v>כשר לרישום</v>
      </c>
      <c r="I66" s="9" t="str">
        <v>V</v>
      </c>
      <c r="J66" s="9">
        <v>1</v>
      </c>
      <c r="K66" s="9" t="str">
        <v>קטי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</row>
    <row r="67" spans="1:17" ht="24.95" customHeight="1" x14ac:dyDescent="0.2">
      <c r="A67" s="9">
        <v>50206</v>
      </c>
      <c r="B67" s="9" t="str">
        <v>מודיעין F8</v>
      </c>
      <c r="C67" s="9" t="str">
        <v>5812,5813</v>
      </c>
      <c r="D67" s="9">
        <v>0</v>
      </c>
      <c r="E67" s="9" t="str">
        <v>251-254/06</v>
      </c>
      <c r="F67" s="9" t="str">
        <v>תל אביב</v>
      </c>
      <c r="G67" s="9">
        <v>0</v>
      </c>
      <c r="H67" s="9" t="str">
        <v>כשר לרישום</v>
      </c>
      <c r="I67" s="9" t="str">
        <v>V</v>
      </c>
      <c r="J67" s="9">
        <v>4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</row>
    <row r="68" spans="1:17" ht="24.95" customHeight="1" x14ac:dyDescent="0.2">
      <c r="A68" s="9">
        <v>50250</v>
      </c>
      <c r="B68" s="9" t="str">
        <v>אשקלון כוכב הצפון תשלו"ז חידוש תצר</v>
      </c>
      <c r="C68" s="9" t="str">
        <v>1202 1196 1201</v>
      </c>
      <c r="D68" s="9">
        <v>0</v>
      </c>
      <c r="E68" s="9">
        <v>0</v>
      </c>
      <c r="F68" s="9" t="str">
        <v>תל אביב</v>
      </c>
      <c r="G68" s="9" t="str">
        <v>268-271/07</v>
      </c>
      <c r="H68" s="9" t="str">
        <v>כשר לרישום</v>
      </c>
      <c r="I68" s="9" t="str">
        <v>V</v>
      </c>
      <c r="J68" s="9">
        <v>4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</row>
    <row r="69" spans="1:17" ht="24.95" customHeight="1" x14ac:dyDescent="0.2">
      <c r="A69" s="9">
        <v>50250</v>
      </c>
      <c r="B69" s="9" t="str">
        <v>אשקלון מגרשי התפר</v>
      </c>
      <c r="C69" s="9">
        <v>0</v>
      </c>
      <c r="D69" s="9">
        <v>0</v>
      </c>
      <c r="E69" s="9">
        <v>0</v>
      </c>
      <c r="F69" s="9" t="str">
        <v>תל אביב</v>
      </c>
      <c r="G69" s="9" t="str">
        <v>100-104/07</v>
      </c>
      <c r="H69" s="9" t="str">
        <v>כשר לרישום</v>
      </c>
      <c r="I69" s="9" t="str">
        <v>V</v>
      </c>
      <c r="J69" s="9">
        <v>5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</row>
    <row r="70" spans="1:17" ht="24.95" customHeight="1" x14ac:dyDescent="0.2">
      <c r="A70" s="9">
        <v>50254</v>
      </c>
      <c r="B70" s="9" t="str">
        <v>ניר בנים תיקון גבולות</v>
      </c>
      <c r="C70" s="9" t="str">
        <v>2933 2934 2936</v>
      </c>
      <c r="D70" s="9">
        <v>0</v>
      </c>
      <c r="E70" s="9" t="str">
        <v xml:space="preserve">0521-09-03-01 </v>
      </c>
      <c r="F70" s="9" t="str">
        <v>תל אביב</v>
      </c>
      <c r="G70" s="9" t="str">
        <v>776-778/09</v>
      </c>
      <c r="H70" s="9" t="str">
        <v>כשר לרישום</v>
      </c>
      <c r="I70" s="9" t="str">
        <v>V</v>
      </c>
      <c r="J70" s="9">
        <v>3</v>
      </c>
      <c r="K70" s="9" t="str">
        <v>תמרה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</row>
    <row r="71" spans="1:17" ht="24.95" customHeight="1" x14ac:dyDescent="0.2">
      <c r="A71" s="9">
        <v>50274</v>
      </c>
      <c r="B71" s="9" t="str">
        <v>אשקלון תיקון אורט</v>
      </c>
      <c r="C71" s="9" t="str">
        <v>1932</v>
      </c>
      <c r="D71" s="9" t="str">
        <v>69,[1],[2]</v>
      </c>
      <c r="E71" s="9" t="str">
        <v>111/06</v>
      </c>
      <c r="F71" s="9" t="str">
        <v>תל אביב</v>
      </c>
      <c r="G71" s="9" t="str">
        <v>624/06</v>
      </c>
      <c r="H71" s="9" t="str">
        <v>כשר לרישום</v>
      </c>
      <c r="I71" s="9" t="str">
        <v>V</v>
      </c>
      <c r="J71" s="9">
        <v>1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</row>
    <row r="72" spans="1:17" ht="24.95" customHeight="1" x14ac:dyDescent="0.2">
      <c r="A72" s="9">
        <v>50276</v>
      </c>
      <c r="B72" s="9" t="str">
        <v>כפר אחים ביקורת</v>
      </c>
      <c r="C72" s="9">
        <v>0</v>
      </c>
      <c r="D72" s="9">
        <v>0</v>
      </c>
      <c r="E72" s="9" t="str">
        <v>פרויקט ביקורת מפי 14582</v>
      </c>
      <c r="F72" s="9">
        <v>0</v>
      </c>
      <c r="G72" s="9" t="str">
        <v>1111-1114/05</v>
      </c>
      <c r="H72" s="9" t="str">
        <v>כשר לרישום</v>
      </c>
      <c r="I72" s="9" t="str">
        <v>V</v>
      </c>
      <c r="J72" s="9">
        <v>5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</row>
    <row r="73" spans="1:17" ht="24.95" customHeight="1" x14ac:dyDescent="0.2">
      <c r="A73" s="9">
        <v>50293</v>
      </c>
      <c r="B73" s="9" t="str">
        <v>רמת גן מתחם הגפן</v>
      </c>
      <c r="C73" s="9" t="str">
        <v>6205</v>
      </c>
      <c r="D73" s="9" t="str">
        <v>376,377</v>
      </c>
      <c r="E73" s="9" t="str">
        <v>10/06</v>
      </c>
      <c r="F73" s="9" t="str">
        <v>תל אביב</v>
      </c>
      <c r="G73" s="9" t="str">
        <v>243/06</v>
      </c>
      <c r="H73" s="9" t="str">
        <v>כשר לרישום</v>
      </c>
      <c r="I73" s="9" t="str">
        <v>V</v>
      </c>
      <c r="J73" s="9">
        <v>1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</row>
    <row r="74" spans="1:17" ht="24.95" customHeight="1" x14ac:dyDescent="0.2">
      <c r="A74" s="9">
        <v>50424</v>
      </c>
      <c r="B74" s="9" t="str">
        <v>ג'ת תצר</v>
      </c>
      <c r="C74" s="9" t="str">
        <v>8841</v>
      </c>
      <c r="D74" s="9" t="str">
        <v>22,43</v>
      </c>
      <c r="E74" s="9">
        <v>0</v>
      </c>
      <c r="F74" s="9" t="str">
        <v>חיפה</v>
      </c>
      <c r="G74" s="9" t="str">
        <v>1346/07</v>
      </c>
      <c r="H74" s="9" t="str">
        <v>כשר לרישום</v>
      </c>
      <c r="I74" s="9" t="str">
        <v>V</v>
      </c>
      <c r="J74" s="9">
        <v>1</v>
      </c>
      <c r="K74" s="9" t="str">
        <v>אלה</v>
      </c>
      <c r="L74" s="9">
        <v>0</v>
      </c>
      <c r="M74" s="9" t="str">
        <v>נינה אונגר</v>
      </c>
      <c r="N74" s="9">
        <v>0</v>
      </c>
      <c r="O74" s="9">
        <v>0</v>
      </c>
      <c r="P74" s="9">
        <v>0</v>
      </c>
      <c r="Q74" s="9">
        <v>0</v>
      </c>
    </row>
    <row r="75" spans="1:17" ht="24.95" customHeight="1" x14ac:dyDescent="0.2">
      <c r="A75" s="9">
        <v>50445</v>
      </c>
      <c r="B75" s="9" t="str">
        <v>יד בנימין יהודה רחמים</v>
      </c>
      <c r="C75" s="9" t="str">
        <v>5922  5924</v>
      </c>
      <c r="D75" s="9">
        <v>0</v>
      </c>
      <c r="E75" s="9">
        <v>0</v>
      </c>
      <c r="F75" s="9" t="str">
        <v>תל אביב</v>
      </c>
      <c r="G75" s="9" t="str">
        <v>244-245/07</v>
      </c>
      <c r="H75" s="9" t="str">
        <v>כשר לרישום</v>
      </c>
      <c r="I75" s="9" t="str">
        <v>V</v>
      </c>
      <c r="J75" s="9">
        <v>2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</row>
    <row r="76" spans="1:17" ht="24.95" customHeight="1" x14ac:dyDescent="0.2">
      <c r="A76" s="9">
        <v>50575</v>
      </c>
      <c r="B76" s="9" t="str">
        <v>חורה שכונה 17</v>
      </c>
      <c r="C76" s="9" t="str">
        <v>100012/1</v>
      </c>
      <c r="D76" s="9" t="str">
        <v>6</v>
      </c>
      <c r="E76" s="9">
        <v>0</v>
      </c>
      <c r="F76" s="9" t="str">
        <v>דרום</v>
      </c>
      <c r="G76" s="9" t="str">
        <v>732/10</v>
      </c>
      <c r="H76" s="9" t="str">
        <v>כשר לרישום</v>
      </c>
      <c r="I76" s="9" t="str">
        <v>V</v>
      </c>
      <c r="J76" s="9">
        <v>1</v>
      </c>
      <c r="K76" s="9" t="str">
        <v>תמרה</v>
      </c>
      <c r="L76" s="9">
        <v>0</v>
      </c>
      <c r="M76" s="9" t="str">
        <v>סרגי זלצמן</v>
      </c>
      <c r="N76" s="9" t="str">
        <v>לבקשת סרגי הוספנו מדידת מבנה</v>
      </c>
      <c r="O76" s="9">
        <v>0</v>
      </c>
      <c r="P76" s="9">
        <v>0</v>
      </c>
      <c r="Q76" s="9">
        <v>0</v>
      </c>
    </row>
    <row r="77" spans="1:17" ht="24.95" customHeight="1" x14ac:dyDescent="0.2">
      <c r="A77" s="9">
        <v>50515</v>
      </c>
      <c r="B77" s="9" t="str">
        <v>פסגת זאב חלקה [904] בגוש 30613</v>
      </c>
      <c r="C77" s="9" t="str">
        <v>30613</v>
      </c>
      <c r="D77" s="9" t="str">
        <v>[904]</v>
      </c>
      <c r="E77" s="9" t="str">
        <v>18666</v>
      </c>
      <c r="F77" s="9" t="str">
        <v>ירושלים</v>
      </c>
      <c r="G77" s="9" t="str">
        <v>468/09</v>
      </c>
      <c r="H77" s="9" t="str">
        <v>כשר לרישום</v>
      </c>
      <c r="I77" s="9" t="str">
        <v>V</v>
      </c>
      <c r="J77" s="9">
        <v>1</v>
      </c>
      <c r="K77" s="9" t="str">
        <v>נטלי</v>
      </c>
      <c r="L77" s="9">
        <v>0</v>
      </c>
      <c r="M77" s="9" t="str">
        <v>רונית</v>
      </c>
      <c r="N77" s="9">
        <v>0</v>
      </c>
      <c r="O77" s="9">
        <v>0</v>
      </c>
      <c r="P77" s="9">
        <v>0</v>
      </c>
      <c r="Q77" s="9">
        <v>0</v>
      </c>
    </row>
    <row r="78" spans="1:17" ht="24.95" customHeight="1" x14ac:dyDescent="0.2">
      <c r="A78" s="9">
        <v>50515</v>
      </c>
      <c r="B78" s="9" t="str">
        <v>פסגת זאב הסדר</v>
      </c>
      <c r="C78" s="9" t="str">
        <v xml:space="preserve">30589 </v>
      </c>
      <c r="D78" s="9" t="str">
        <v>102,104,106</v>
      </c>
      <c r="E78" s="9">
        <v>0</v>
      </c>
      <c r="F78" s="9" t="str">
        <v>ירושלים</v>
      </c>
      <c r="G78" s="9" t="str">
        <v>810/08</v>
      </c>
      <c r="H78" s="9" t="str">
        <v>כשר לרישום</v>
      </c>
      <c r="I78" s="9" t="str">
        <v>V</v>
      </c>
      <c r="J78" s="9">
        <v>1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</row>
    <row r="79" spans="1:17" ht="24.95" customHeight="1" x14ac:dyDescent="0.2">
      <c r="A79" s="9">
        <v>50515</v>
      </c>
      <c r="B79" s="9" t="str">
        <v>פסגת זאב הסדר</v>
      </c>
      <c r="C79" s="9" t="str">
        <v>30587</v>
      </c>
      <c r="D79" s="9" t="str">
        <v>37</v>
      </c>
      <c r="E79" s="9">
        <v>0</v>
      </c>
      <c r="F79" s="9" t="str">
        <v>ירושלים</v>
      </c>
      <c r="G79" s="9" t="str">
        <v>641/08</v>
      </c>
      <c r="H79" s="9" t="str">
        <v>כשר לרישום</v>
      </c>
      <c r="I79" s="9" t="str">
        <v>V</v>
      </c>
      <c r="J79" s="9">
        <v>1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</row>
    <row r="80" spans="1:17" ht="24.95" customHeight="1" x14ac:dyDescent="0.2">
      <c r="A80" s="9">
        <v>50515</v>
      </c>
      <c r="B80" s="9" t="str">
        <v>פסגת זאב הסדר</v>
      </c>
      <c r="C80" s="9" t="str">
        <v>31306</v>
      </c>
      <c r="D80" s="9" t="str">
        <v>[278]</v>
      </c>
      <c r="E80" s="9">
        <v>0</v>
      </c>
      <c r="F80" s="9" t="str">
        <v>ירושלים</v>
      </c>
      <c r="G80" s="9" t="str">
        <v>695/08</v>
      </c>
      <c r="H80" s="9" t="str">
        <v>כשר לרישום</v>
      </c>
      <c r="I80" s="9" t="str">
        <v>V</v>
      </c>
      <c r="J80" s="9">
        <v>1</v>
      </c>
      <c r="K80" s="9" t="str">
        <v>נטלי</v>
      </c>
      <c r="L80" s="9">
        <v>0</v>
      </c>
      <c r="M80" s="9" t="str">
        <v>אנה רוזנברג</v>
      </c>
      <c r="N80" s="9">
        <v>0</v>
      </c>
      <c r="O80" s="9">
        <v>0</v>
      </c>
      <c r="P80" s="9">
        <v>0</v>
      </c>
      <c r="Q80" s="9">
        <v>0</v>
      </c>
    </row>
    <row r="81" spans="1:17" ht="24.95" customHeight="1" x14ac:dyDescent="0.2">
      <c r="A81" s="9">
        <v>50533</v>
      </c>
      <c r="B81" s="9" t="str">
        <v>הר הצופים מוניר עזאם</v>
      </c>
      <c r="C81" s="9" t="str">
        <v>30000</v>
      </c>
      <c r="D81" s="9" t="str">
        <v>57</v>
      </c>
      <c r="E81" s="9">
        <v>0</v>
      </c>
      <c r="F81" s="9" t="str">
        <v>ירושלים</v>
      </c>
      <c r="G81" s="9" t="str">
        <v>590/07</v>
      </c>
      <c r="H81" s="9" t="str">
        <v>כשר לרישום</v>
      </c>
      <c r="I81" s="9" t="str">
        <v>V</v>
      </c>
      <c r="J81" s="9">
        <v>1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</row>
    <row r="82" spans="1:17" ht="24.95" customHeight="1" x14ac:dyDescent="0.2">
      <c r="A82" s="9" t="str">
        <v>50545</v>
      </c>
      <c r="B82" s="9" t="str">
        <v>אשקלון קניון גירון</v>
      </c>
      <c r="C82" s="9" t="str">
        <v>1931</v>
      </c>
      <c r="D82" s="9">
        <v>0</v>
      </c>
      <c r="E82" s="9" t="str">
        <v>260/06</v>
      </c>
      <c r="F82" s="9" t="str">
        <v>תל אביב</v>
      </c>
      <c r="G82" s="9" t="str">
        <v>1320/06</v>
      </c>
      <c r="H82" s="9" t="str">
        <v>כשר לרישום</v>
      </c>
      <c r="I82" s="9" t="str">
        <v>V</v>
      </c>
      <c r="J82" s="9">
        <v>1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</row>
    <row r="83" spans="1:17" ht="24.95" customHeight="1" x14ac:dyDescent="0.2">
      <c r="A83" s="9">
        <v>50622</v>
      </c>
      <c r="B83" s="9" t="str">
        <v>נס ציונה לב המושבה</v>
      </c>
      <c r="C83" s="9" t="str">
        <v>3636 , 3641</v>
      </c>
      <c r="D83" s="9">
        <v>0</v>
      </c>
      <c r="E83" s="9">
        <v>0</v>
      </c>
      <c r="F83" s="9" t="str">
        <v>תל אביב</v>
      </c>
      <c r="G83" s="9" t="str">
        <v>279-285/09</v>
      </c>
      <c r="H83" s="9" t="str">
        <v>כשר לרישום</v>
      </c>
      <c r="I83" s="9" t="str">
        <v>V</v>
      </c>
      <c r="J83" s="9">
        <v>7</v>
      </c>
      <c r="K83" s="9" t="str">
        <v>קטי</v>
      </c>
      <c r="L83" s="9">
        <v>0</v>
      </c>
      <c r="M83" s="9" t="str">
        <v>מיכאל וינשטיין 
וקטיה גרמן</v>
      </c>
      <c r="N83" s="9" t="str">
        <v>מסרנו מיילרים</v>
      </c>
      <c r="O83" s="9">
        <v>0</v>
      </c>
      <c r="P83" s="9">
        <v>0</v>
      </c>
      <c r="Q83" s="9">
        <v>0</v>
      </c>
    </row>
    <row r="84" spans="1:17" ht="24.95" customHeight="1" x14ac:dyDescent="0.2">
      <c r="A84" s="9">
        <v>60033</v>
      </c>
      <c r="B84" s="9" t="str">
        <v>נס ציונה נס/132/א/6</v>
      </c>
      <c r="C84" s="9" t="str">
        <v>3750</v>
      </c>
      <c r="D84" s="9">
        <v>0</v>
      </c>
      <c r="E84" s="9">
        <v>0</v>
      </c>
      <c r="F84" s="9" t="str">
        <v>תל אביב</v>
      </c>
      <c r="G84" s="9" t="str">
        <v>89/07</v>
      </c>
      <c r="H84" s="9" t="str">
        <v>כשר לרישום</v>
      </c>
      <c r="I84" s="9" t="str">
        <v>V</v>
      </c>
      <c r="J84" s="9">
        <v>1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</row>
    <row r="85" spans="1:17" ht="24.95" customHeight="1" x14ac:dyDescent="0.2">
      <c r="A85" s="9">
        <v>60206</v>
      </c>
      <c r="B85" s="9" t="str">
        <v>רמת בית שמש ביקורת תצר</v>
      </c>
      <c r="C85" s="9">
        <v>0</v>
      </c>
      <c r="D85" s="9">
        <v>0</v>
      </c>
      <c r="E85" s="9" t="str">
        <v>פרויקט 15316</v>
      </c>
      <c r="F85" s="9">
        <v>0</v>
      </c>
      <c r="G85" s="9">
        <v>0</v>
      </c>
      <c r="H85" s="9" t="str">
        <v>כשר לרישום</v>
      </c>
      <c r="I85" s="9" t="str">
        <v>V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</row>
    <row r="86" spans="1:17" ht="24.95" customHeight="1" x14ac:dyDescent="0.2">
      <c r="A86" s="9">
        <v>60239</v>
      </c>
      <c r="B86" s="9" t="str">
        <v>מודיעין F3 תצר</v>
      </c>
      <c r="C86" s="9" t="str">
        <v>5812</v>
      </c>
      <c r="D86" s="9" t="str">
        <v>4,5</v>
      </c>
      <c r="E86" s="9">
        <v>0</v>
      </c>
      <c r="F86" s="9" t="str">
        <v>תל אביב</v>
      </c>
      <c r="G86" s="9" t="str">
        <v>212/08</v>
      </c>
      <c r="H86" s="9" t="str">
        <v>כשר לרישום</v>
      </c>
      <c r="I86" s="9" t="str">
        <v>V</v>
      </c>
      <c r="J86" s="9">
        <v>1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</row>
    <row r="87" spans="1:17" ht="24.95" customHeight="1" x14ac:dyDescent="0.2">
      <c r="A87" s="9">
        <v>60274</v>
      </c>
      <c r="B87" s="9" t="str">
        <v>ראש העין תצר חלקה 88 גוש 5486</v>
      </c>
      <c r="C87" s="9" t="str">
        <v>5486</v>
      </c>
      <c r="D87" s="9" t="str">
        <v>88</v>
      </c>
      <c r="E87" s="9">
        <v>0</v>
      </c>
      <c r="F87" s="9" t="str">
        <v>תל אביב</v>
      </c>
      <c r="G87" s="9" t="str">
        <v>70/07</v>
      </c>
      <c r="H87" s="9" t="str">
        <v>כשר לרישום</v>
      </c>
      <c r="I87" s="9" t="str">
        <v>V</v>
      </c>
      <c r="J87" s="9">
        <v>1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</row>
    <row r="88" spans="1:17" ht="24.95" customHeight="1" x14ac:dyDescent="0.2">
      <c r="A88" s="9">
        <v>60280</v>
      </c>
      <c r="B88" s="9" t="str">
        <v>פסגת זאב 7928</v>
      </c>
      <c r="C88" s="9" t="str">
        <v>30587</v>
      </c>
      <c r="D88" s="9" t="str">
        <v>66,67, 110</v>
      </c>
      <c r="E88" s="9">
        <v>0</v>
      </c>
      <c r="F88" s="9" t="str">
        <v>דוידובסקי</v>
      </c>
      <c r="G88" s="9" t="str">
        <v>1084/07</v>
      </c>
      <c r="H88" s="9" t="str">
        <v>כשר לרישום</v>
      </c>
      <c r="I88" s="9" t="str">
        <v>V</v>
      </c>
      <c r="J88" s="9">
        <v>1</v>
      </c>
      <c r="K88" s="9">
        <v>0</v>
      </c>
      <c r="L88" s="9">
        <v>0</v>
      </c>
      <c r="M88" s="9">
        <v>0</v>
      </c>
      <c r="N88" s="9" t="str">
        <v>נרשם בטאבו</v>
      </c>
      <c r="O88" s="9">
        <v>0</v>
      </c>
      <c r="P88" s="9">
        <v>0</v>
      </c>
      <c r="Q88" s="9">
        <v>0</v>
      </c>
    </row>
    <row r="89" spans="1:17" ht="24.95" customHeight="1" x14ac:dyDescent="0.2">
      <c r="A89" s="9">
        <v>60280</v>
      </c>
      <c r="B89" s="9" t="str">
        <v>פסגת זאב 7928</v>
      </c>
      <c r="C89" s="9" t="str">
        <v>30589</v>
      </c>
      <c r="D89" s="9" t="str">
        <v>84,90</v>
      </c>
      <c r="E89" s="9">
        <v>0</v>
      </c>
      <c r="F89" s="9" t="str">
        <v>דוידובסקי</v>
      </c>
      <c r="G89" s="9" t="str">
        <v>1082/07</v>
      </c>
      <c r="H89" s="9" t="str">
        <v>כשר לרישום</v>
      </c>
      <c r="I89" s="9" t="str">
        <v>V</v>
      </c>
      <c r="J89" s="9">
        <v>1</v>
      </c>
      <c r="K89" s="9">
        <v>0</v>
      </c>
      <c r="L89" s="9">
        <v>0</v>
      </c>
      <c r="M89" s="9">
        <v>0</v>
      </c>
      <c r="N89" s="9" t="str">
        <v>נרשם בטאבו</v>
      </c>
      <c r="O89" s="9">
        <v>0</v>
      </c>
      <c r="P89" s="9">
        <v>0</v>
      </c>
      <c r="Q89" s="9">
        <v>0</v>
      </c>
    </row>
    <row r="90" spans="1:17" ht="24.95" customHeight="1" x14ac:dyDescent="0.2">
      <c r="A90" s="9">
        <v>70122</v>
      </c>
      <c r="B90" s="9" t="str">
        <v>בית ניר שיוך והרחבה</v>
      </c>
      <c r="C90" s="9">
        <v>0</v>
      </c>
      <c r="D90" s="9">
        <v>0</v>
      </c>
      <c r="E90" s="9">
        <v>0</v>
      </c>
      <c r="F90" s="9" t="str">
        <v>דרום</v>
      </c>
      <c r="G90" s="9" t="str">
        <v>180-186/2010</v>
      </c>
      <c r="H90" s="9" t="str">
        <v>כשר לרישום</v>
      </c>
      <c r="I90" s="9" t="str">
        <v>V</v>
      </c>
      <c r="J90" s="9">
        <v>7</v>
      </c>
      <c r="K90" s="9" t="str">
        <v>נטלי</v>
      </c>
      <c r="L90" s="9">
        <v>0</v>
      </c>
      <c r="M90" s="9" t="str">
        <v>סרגי זלצמן ביקש קבצי PLT  עם חתימה אלקטרונית</v>
      </c>
      <c r="N90" s="9">
        <v>0</v>
      </c>
      <c r="O90" s="9">
        <v>0</v>
      </c>
      <c r="P90" s="9">
        <v>0</v>
      </c>
      <c r="Q90" s="9">
        <v>0</v>
      </c>
    </row>
    <row r="91" spans="1:17" ht="24.95" customHeight="1" x14ac:dyDescent="0.2">
      <c r="A91" s="9">
        <v>60321</v>
      </c>
      <c r="B91" s="9" t="str">
        <v>ת"א שוק בצלאל</v>
      </c>
      <c r="C91" s="9" t="str">
        <v>6912</v>
      </c>
      <c r="D91" s="9" t="str">
        <v>7-29</v>
      </c>
      <c r="E91" s="9">
        <v>0</v>
      </c>
      <c r="F91" s="9" t="str">
        <v>תל אביב</v>
      </c>
      <c r="G91" s="9" t="str">
        <v>103/08</v>
      </c>
      <c r="H91" s="9" t="str">
        <v>כשר לרישום</v>
      </c>
      <c r="I91" s="9" t="str">
        <v>V</v>
      </c>
      <c r="J91" s="9">
        <v>1</v>
      </c>
      <c r="K91" s="9" t="str">
        <v>נטלי</v>
      </c>
      <c r="L91" s="9">
        <v>0</v>
      </c>
      <c r="M91" s="9" t="str">
        <v>מיכאל וינשטיין</v>
      </c>
      <c r="N91" s="9">
        <v>0</v>
      </c>
      <c r="O91" s="9">
        <v>0</v>
      </c>
      <c r="P91" s="9">
        <v>0</v>
      </c>
      <c r="Q91" s="9">
        <v>0</v>
      </c>
    </row>
    <row r="92" spans="1:17" ht="24.95" customHeight="1" x14ac:dyDescent="0.2">
      <c r="A92" s="9">
        <v>100522</v>
      </c>
      <c r="B92" s="9" t="str">
        <v>בית דגן הרחבה יהל</v>
      </c>
      <c r="C92" s="9" t="str">
        <v>6076 6075 6081 6080 7387</v>
      </c>
      <c r="D92" s="9" t="str">
        <v>שונות</v>
      </c>
      <c r="E92" s="9" t="str">
        <v>0973-12-03-01</v>
      </c>
      <c r="F92" s="9" t="str">
        <v>תל אביב</v>
      </c>
      <c r="G92" s="9" t="str">
        <v>1494-1498/2012</v>
      </c>
      <c r="H92" s="9" t="str">
        <v>כשר לרישום</v>
      </c>
      <c r="I92" s="9" t="str">
        <v>V</v>
      </c>
      <c r="J92" s="9">
        <v>5</v>
      </c>
      <c r="K92" s="9" t="str">
        <v>תמרה</v>
      </c>
      <c r="L92" s="9">
        <v>0</v>
      </c>
      <c r="M92" s="9" t="str">
        <v>נועה אהרונוב</v>
      </c>
      <c r="N92" s="9" t="str">
        <v>שלחנו קבצים ותיק חישובים לריסה ביקשה פגישה . ישבתי בתאריך 17.1.2013  עם לריסה ויפתח תיק .שלחנו מיילרים .היום תקבל מייל ממני.אגרה סופית</v>
      </c>
      <c r="O92" s="9">
        <v>0</v>
      </c>
      <c r="P92" s="9">
        <v>0</v>
      </c>
      <c r="Q92" s="9">
        <v>0</v>
      </c>
    </row>
    <row r="93" spans="1:17" ht="24.95" customHeight="1" x14ac:dyDescent="0.2">
      <c r="A93" s="9">
        <v>80018</v>
      </c>
      <c r="B93" s="9" t="str">
        <v>תל אביב בית אל מתחם שץ</v>
      </c>
      <c r="C93" s="9" t="str">
        <v>7321</v>
      </c>
      <c r="D93" s="9" t="str">
        <v>69,70</v>
      </c>
      <c r="E93" s="9" t="str">
        <v>397-12-03-01</v>
      </c>
      <c r="F93" s="9" t="str">
        <v>תל אביב</v>
      </c>
      <c r="G93" s="9" t="str">
        <v>599/2012</v>
      </c>
      <c r="H93" s="9" t="str">
        <v>כשר לרישום</v>
      </c>
      <c r="I93" s="9" t="str">
        <v>V</v>
      </c>
      <c r="J93" s="9">
        <v>1</v>
      </c>
      <c r="K93" s="9" t="str">
        <v>נטלי</v>
      </c>
      <c r="L93" s="9">
        <v>0</v>
      </c>
      <c r="M93" s="9" t="str">
        <v>ויקה</v>
      </c>
      <c r="N93" s="9" t="str">
        <v>שלחו לאסנת צק חדש . פתחו תיק .ויקה ביקשה קשירות
מחכים לתשובה מויקה
הסתיים. היום תקבל מייל ממני. אגרה סופית</v>
      </c>
      <c r="O93" s="9">
        <v>0</v>
      </c>
      <c r="P93" s="9">
        <v>0</v>
      </c>
      <c r="Q93" s="9">
        <v>0</v>
      </c>
    </row>
    <row r="94" spans="1:17" ht="24.95" customHeight="1" x14ac:dyDescent="0.2">
      <c r="A94" s="9">
        <v>40669</v>
      </c>
      <c r="B94" s="9" t="str">
        <v>רמת השרון מק-1000</v>
      </c>
      <c r="C94" s="9" t="str">
        <v>שונים</v>
      </c>
      <c r="D94" s="9">
        <v>0</v>
      </c>
      <c r="E94" s="9" t="str">
        <v>0082-13-03-01</v>
      </c>
      <c r="F94" s="9" t="str">
        <v>תל אביב</v>
      </c>
      <c r="G94" s="9" t="str">
        <v>103-109/2013</v>
      </c>
      <c r="H94" s="9" t="str">
        <v>כשר לרישום</v>
      </c>
      <c r="I94" s="9" t="str">
        <v>V</v>
      </c>
      <c r="J94" s="9">
        <v>7</v>
      </c>
      <c r="K94" s="9" t="str">
        <v>קטי+תמרה</v>
      </c>
      <c r="L94" s="9">
        <v>0</v>
      </c>
      <c r="M94" s="9" t="str">
        <v>נועה אהרונוב</v>
      </c>
      <c r="N94" s="9" t="str">
        <v>שלחנו קבצים .והם תקינים .שלחנו מיילרים 19.5.2013 .
לריסה תחתום בקרוב</v>
      </c>
      <c r="O94" s="9">
        <v>0</v>
      </c>
      <c r="P94" s="9">
        <v>0</v>
      </c>
      <c r="Q94" s="9">
        <v>0</v>
      </c>
    </row>
    <row r="95" spans="1:17" ht="24.95" customHeight="1" x14ac:dyDescent="0.2">
      <c r="A95" s="9">
        <v>50501</v>
      </c>
      <c r="B95" s="9" t="str">
        <v>גני טל חפץ חיים</v>
      </c>
      <c r="C95" s="9" t="str">
        <v>4728,4729,5447,5450,5449,5448,</v>
      </c>
      <c r="D95" s="9">
        <v>0</v>
      </c>
      <c r="E95" s="9" t="str">
        <v>0344-10-03-01</v>
      </c>
      <c r="F95" s="9" t="str">
        <v>תל אביב</v>
      </c>
      <c r="G95" s="9" t="str">
        <v>427-435/10</v>
      </c>
      <c r="H95" s="9" t="str">
        <v>כשר לרישום</v>
      </c>
      <c r="I95" s="9" t="str">
        <v>V</v>
      </c>
      <c r="J95" s="9">
        <v>9</v>
      </c>
      <c r="K95" s="9" t="str">
        <v>אירה</v>
      </c>
      <c r="L95" s="9">
        <v>0</v>
      </c>
      <c r="M95" s="9" t="str">
        <v>קטיה גרמן</v>
      </c>
      <c r="N95" s="9" t="str">
        <v xml:space="preserve">מסרתי לקטיה תיק חישובים חדש ב- 7.5.2013 </v>
      </c>
      <c r="O95" s="9">
        <v>0</v>
      </c>
      <c r="P95" s="9">
        <v>0</v>
      </c>
      <c r="Q95" s="9">
        <v>0</v>
      </c>
    </row>
    <row r="96" spans="1:17" ht="24.95" customHeight="1" x14ac:dyDescent="0.2">
      <c r="A96" s="9">
        <v>60359</v>
      </c>
      <c r="B96" s="9" t="str">
        <v>דלית אל כרמל רפרצלציה</v>
      </c>
      <c r="C96" s="9" t="str">
        <v>11502,11504,11506</v>
      </c>
      <c r="D96" s="9">
        <v>0</v>
      </c>
      <c r="E96" s="9">
        <v>0</v>
      </c>
      <c r="F96" s="9" t="str">
        <v>חיפה</v>
      </c>
      <c r="G96" s="9" t="str">
        <v>1347-1352/07</v>
      </c>
      <c r="H96" s="9" t="str">
        <v>כשר לרישום</v>
      </c>
      <c r="I96" s="9" t="str">
        <v>V</v>
      </c>
      <c r="J96" s="9">
        <v>6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</row>
    <row r="97" spans="1:17" ht="24.95" customHeight="1" x14ac:dyDescent="0.2">
      <c r="A97" s="9">
        <v>60384</v>
      </c>
      <c r="B97" s="9" t="str">
        <v>מולדת מכרז ממי</v>
      </c>
      <c r="C97" s="9" t="str">
        <v>23212,23213,23214,23211,23280</v>
      </c>
      <c r="D97" s="9">
        <v>0</v>
      </c>
      <c r="E97" s="9">
        <v>0</v>
      </c>
      <c r="F97" s="9" t="str">
        <v>חיפה</v>
      </c>
      <c r="G97" s="9" t="str">
        <v>960-965/09</v>
      </c>
      <c r="H97" s="9" t="str">
        <v>כשר לרישום</v>
      </c>
      <c r="I97" s="9" t="str">
        <v>V</v>
      </c>
      <c r="J97" s="9">
        <v>6</v>
      </c>
      <c r="K97" s="9" t="str">
        <v>קטי</v>
      </c>
      <c r="L97" s="9">
        <v>0</v>
      </c>
      <c r="M97" s="9" t="str">
        <v>נינה אונגר</v>
      </c>
      <c r="N97" s="9" t="str">
        <v>מדידה קרקעית נוספת</v>
      </c>
      <c r="O97" s="9">
        <v>0</v>
      </c>
      <c r="P97" s="9">
        <v>0</v>
      </c>
      <c r="Q97" s="9">
        <v>0</v>
      </c>
    </row>
    <row r="98" spans="1:17" ht="24.95" customHeight="1" x14ac:dyDescent="0.2">
      <c r="A98" s="9">
        <v>60394</v>
      </c>
      <c r="B98" s="9" t="str">
        <v>אשקלון פסגת ברנע</v>
      </c>
      <c r="C98" s="9" t="str">
        <v>1934</v>
      </c>
      <c r="D98" s="9" t="str">
        <v>259, 258, 257, 248, 247, 246, 245, 244, 243, 242, 241, 240, 239, 238, 237, 229, 228, 227, 195, 194, 184, 183, 182, 172, 171, 170, 169, 168, 149, 148, 147, 146, 145, 144, 143, 142;</v>
      </c>
      <c r="E98" s="9">
        <v>0</v>
      </c>
      <c r="F98" s="9" t="str">
        <v>תל אביב</v>
      </c>
      <c r="G98" s="9" t="str">
        <v>153/08</v>
      </c>
      <c r="H98" s="9" t="str">
        <v>כשר לרישום</v>
      </c>
      <c r="I98" s="9" t="str">
        <v>V</v>
      </c>
      <c r="J98" s="9">
        <v>1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</row>
    <row r="99" spans="1:17" ht="24.95" customHeight="1" x14ac:dyDescent="0.2">
      <c r="A99" s="9">
        <v>60496</v>
      </c>
      <c r="B99" s="9" t="str">
        <v>הר חומה ביקורת תצר</v>
      </c>
      <c r="C99" s="9">
        <v>0</v>
      </c>
      <c r="D99" s="9">
        <v>0</v>
      </c>
      <c r="E99" s="9" t="str">
        <v>פרויקט 16022</v>
      </c>
      <c r="F99" s="9">
        <v>0</v>
      </c>
      <c r="G99" s="9">
        <v>0</v>
      </c>
      <c r="H99" s="9" t="str">
        <v>כשר לרישום</v>
      </c>
      <c r="I99" s="9" t="str">
        <v>V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</row>
    <row r="100" spans="1:17" ht="24.95" customHeight="1" x14ac:dyDescent="0.2">
      <c r="A100" s="9">
        <v>60618</v>
      </c>
      <c r="B100" s="9" t="str">
        <v>נס ציונה תבע אברהם פניק נס/151</v>
      </c>
      <c r="C100" s="9" t="str">
        <v>3751</v>
      </c>
      <c r="D100" s="9" t="str">
        <v>3</v>
      </c>
      <c r="E100" s="9">
        <v>0</v>
      </c>
      <c r="F100" s="9" t="str">
        <v>תל אביב</v>
      </c>
      <c r="G100" s="9" t="str">
        <v>9/08</v>
      </c>
      <c r="H100" s="9" t="str">
        <v>כשר לרישום</v>
      </c>
      <c r="I100" s="9" t="str">
        <v>V</v>
      </c>
      <c r="J100" s="9">
        <v>1</v>
      </c>
      <c r="K100" s="9" t="str">
        <v>תמרה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</row>
    <row r="101" spans="1:17" ht="24.95" customHeight="1" x14ac:dyDescent="0.2">
      <c r="A101" s="9">
        <v>60672</v>
      </c>
      <c r="B101" s="9" t="str">
        <v>ניר גלים הרחבה</v>
      </c>
      <c r="C101" s="9" t="str">
        <v>197 ,  463,464</v>
      </c>
      <c r="D101" s="9" t="str">
        <v>48,49</v>
      </c>
      <c r="E101" s="9">
        <v>0</v>
      </c>
      <c r="F101" s="9" t="str">
        <v>תל אביב</v>
      </c>
      <c r="G101" s="9" t="str">
        <v>172-175/08</v>
      </c>
      <c r="H101" s="9" t="str">
        <v>כשר לרישום</v>
      </c>
      <c r="I101" s="9" t="str">
        <v>V</v>
      </c>
      <c r="J101" s="9">
        <v>4</v>
      </c>
      <c r="K101" s="9" t="str">
        <v>קטי</v>
      </c>
      <c r="L101" s="9">
        <v>0</v>
      </c>
      <c r="M101" s="9" t="str">
        <v>מיכאל וינשטיין</v>
      </c>
      <c r="N101" s="9" t="str">
        <v>רוצים עידכון פוטו</v>
      </c>
      <c r="O101" s="9">
        <v>0</v>
      </c>
      <c r="P101" s="9">
        <v>0</v>
      </c>
      <c r="Q101" s="9">
        <v>0</v>
      </c>
    </row>
    <row r="102" spans="1:17" ht="24.95" customHeight="1" x14ac:dyDescent="0.2">
      <c r="A102" s="9">
        <v>60678</v>
      </c>
      <c r="B102" s="9" t="str">
        <v>פתח תקוה תבע 1255</v>
      </c>
      <c r="C102" s="9" t="str">
        <v>4043</v>
      </c>
      <c r="D102" s="9" t="str">
        <v>2,3</v>
      </c>
      <c r="E102" s="9">
        <v>0</v>
      </c>
      <c r="F102" s="9" t="str">
        <v>תל אביב</v>
      </c>
      <c r="G102" s="9" t="str">
        <v>225/07</v>
      </c>
      <c r="H102" s="9" t="str">
        <v>כשר לרישום</v>
      </c>
      <c r="I102" s="9" t="str">
        <v>V</v>
      </c>
      <c r="J102" s="9">
        <v>1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</row>
    <row r="103" spans="1:17" ht="24.95" customHeight="1" x14ac:dyDescent="0.2">
      <c r="A103" s="9">
        <v>70011</v>
      </c>
      <c r="B103" s="9" t="str">
        <v>גיבתון</v>
      </c>
      <c r="C103" s="9" t="str">
        <v>3657  3679  2645</v>
      </c>
      <c r="D103" s="9">
        <v>0</v>
      </c>
      <c r="E103" s="9">
        <v>0</v>
      </c>
      <c r="F103" s="9" t="str">
        <v>תל אביב</v>
      </c>
      <c r="G103" s="9" t="str">
        <v>85-89/08</v>
      </c>
      <c r="H103" s="9" t="str">
        <v>כשר לרישום</v>
      </c>
      <c r="I103" s="9" t="str">
        <v>V</v>
      </c>
      <c r="J103" s="9">
        <v>5</v>
      </c>
      <c r="K103" s="9" t="str">
        <v>נטלי</v>
      </c>
      <c r="L103" s="9">
        <v>0</v>
      </c>
      <c r="M103" s="9" t="str">
        <v>מיכאל וינשטיין</v>
      </c>
      <c r="N103" s="9">
        <v>0</v>
      </c>
      <c r="O103" s="9">
        <v>0</v>
      </c>
      <c r="P103" s="9">
        <v>0</v>
      </c>
      <c r="Q103" s="9">
        <v>0</v>
      </c>
    </row>
    <row r="104" spans="1:17" ht="24.95" customHeight="1" x14ac:dyDescent="0.2">
      <c r="A104" s="9">
        <v>70112</v>
      </c>
      <c r="B104" s="9" t="str">
        <v>נס ציונה  נס/מק/208</v>
      </c>
      <c r="C104" s="9" t="str">
        <v>3637</v>
      </c>
      <c r="D104" s="9" t="str">
        <v>769</v>
      </c>
      <c r="E104" s="9">
        <v>0</v>
      </c>
      <c r="F104" s="9" t="str">
        <v>תל אביב</v>
      </c>
      <c r="G104" s="9" t="str">
        <v>82/08</v>
      </c>
      <c r="H104" s="9" t="str">
        <v>כשר לרישום</v>
      </c>
      <c r="I104" s="9" t="str">
        <v>V</v>
      </c>
      <c r="J104" s="9">
        <v>1</v>
      </c>
      <c r="K104" s="9" t="str">
        <v>נטלי</v>
      </c>
      <c r="L104" s="9">
        <v>0</v>
      </c>
      <c r="M104" s="9" t="str">
        <v>מיכאל וינשטיין</v>
      </c>
      <c r="N104" s="9">
        <v>0</v>
      </c>
      <c r="O104" s="9">
        <v>0</v>
      </c>
      <c r="P104" s="9">
        <v>0</v>
      </c>
      <c r="Q104" s="9">
        <v>0</v>
      </c>
    </row>
    <row r="105" spans="1:17" ht="24.95" customHeight="1" x14ac:dyDescent="0.2">
      <c r="A105" s="9">
        <v>70146</v>
      </c>
      <c r="B105" s="9" t="str">
        <v>נחלים הרחבה</v>
      </c>
      <c r="C105" s="9" t="str">
        <v>6811  6814</v>
      </c>
      <c r="D105" s="9">
        <v>0</v>
      </c>
      <c r="E105" s="9">
        <v>0</v>
      </c>
      <c r="F105" s="9" t="str">
        <v>תל אביב</v>
      </c>
      <c r="G105" s="9" t="str">
        <v>111-114/09</v>
      </c>
      <c r="H105" s="9" t="str">
        <v>כשר לרישום</v>
      </c>
      <c r="I105" s="9" t="str">
        <v>V</v>
      </c>
      <c r="J105" s="9">
        <v>5</v>
      </c>
      <c r="K105" s="9" t="str">
        <v>קטי</v>
      </c>
      <c r="L105" s="9">
        <v>0</v>
      </c>
      <c r="M105" s="9" t="str">
        <v>מיכאל וינשטיין</v>
      </c>
      <c r="N105" s="9">
        <v>0</v>
      </c>
      <c r="O105" s="9">
        <v>0</v>
      </c>
      <c r="P105" s="9">
        <v>0</v>
      </c>
      <c r="Q105" s="9">
        <v>0</v>
      </c>
    </row>
    <row r="106" spans="1:17" ht="24.95" customHeight="1" x14ac:dyDescent="0.2">
      <c r="A106" s="9">
        <v>70332</v>
      </c>
      <c r="B106" s="9" t="str">
        <v>בית לחם ביקורת תצר</v>
      </c>
      <c r="C106" s="9">
        <v>0</v>
      </c>
      <c r="D106" s="9">
        <v>0</v>
      </c>
      <c r="E106" s="9">
        <v>0</v>
      </c>
      <c r="F106" s="9" t="str">
        <v>לינקולן</v>
      </c>
      <c r="G106" s="9">
        <v>0</v>
      </c>
      <c r="H106" s="9" t="str">
        <v>כשר לרישום</v>
      </c>
      <c r="I106" s="9" t="str">
        <v>V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</row>
    <row r="107" spans="1:17" ht="24.95" customHeight="1" x14ac:dyDescent="0.2">
      <c r="A107" s="9">
        <v>70343</v>
      </c>
      <c r="B107" s="9" t="str">
        <v>נס ציונה גני מרויאס;</v>
      </c>
      <c r="C107" s="9" t="str">
        <v>3754</v>
      </c>
      <c r="D107" s="9" t="str">
        <v>32</v>
      </c>
      <c r="E107" s="9">
        <v>0</v>
      </c>
      <c r="F107" s="9" t="str">
        <v>תל אביב</v>
      </c>
      <c r="G107" s="9" t="str">
        <v>46/08</v>
      </c>
      <c r="H107" s="9" t="str">
        <v>כשר לרישום</v>
      </c>
      <c r="I107" s="9" t="str">
        <v>V</v>
      </c>
      <c r="J107" s="9">
        <v>1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</row>
    <row r="108" spans="1:17" ht="24.95" customHeight="1" x14ac:dyDescent="0.2">
      <c r="A108" s="9">
        <v>70390</v>
      </c>
      <c r="B108" s="9" t="str">
        <v>אשקלון מלון דגון זהבית</v>
      </c>
      <c r="C108" s="9" t="str">
        <v>1958,1941,1940</v>
      </c>
      <c r="D108" s="9">
        <v>0</v>
      </c>
      <c r="E108" s="9" t="str">
        <v xml:space="preserve">0450-09-03-01 </v>
      </c>
      <c r="F108" s="9" t="str">
        <v>תל אביב</v>
      </c>
      <c r="G108" s="9" t="str">
        <v>668-670/09</v>
      </c>
      <c r="H108" s="9" t="str">
        <v>כשר לרישום</v>
      </c>
      <c r="I108" s="9" t="str">
        <v>V</v>
      </c>
      <c r="J108" s="9">
        <v>3</v>
      </c>
      <c r="K108" s="9" t="str">
        <v>תמרה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</row>
    <row r="109" spans="1:17" ht="24.95" customHeight="1" x14ac:dyDescent="0.2">
      <c r="A109" s="9">
        <v>70418</v>
      </c>
      <c r="B109" s="9" t="str">
        <v>נס ציונה נס/132/א/5</v>
      </c>
      <c r="C109" s="9" t="str">
        <v>3750</v>
      </c>
      <c r="D109" s="9" t="str">
        <v>327, 328, 333, 334, 335, 338</v>
      </c>
      <c r="E109" s="9">
        <v>0</v>
      </c>
      <c r="F109" s="9" t="str">
        <v>תל אביב</v>
      </c>
      <c r="G109" s="9" t="str">
        <v>222-223/08</v>
      </c>
      <c r="H109" s="9" t="str">
        <v>כשר לרישום</v>
      </c>
      <c r="I109" s="9" t="str">
        <v>V</v>
      </c>
      <c r="J109" s="9">
        <v>2</v>
      </c>
      <c r="K109" s="9" t="str">
        <v>נטלי</v>
      </c>
      <c r="L109" s="9">
        <v>0</v>
      </c>
      <c r="M109" s="9" t="str">
        <v>לריסה רייזמן</v>
      </c>
      <c r="N109" s="9">
        <v>0</v>
      </c>
      <c r="O109" s="9">
        <v>0</v>
      </c>
      <c r="P109" s="9">
        <v>0</v>
      </c>
      <c r="Q109" s="9">
        <v>0</v>
      </c>
    </row>
    <row r="110" spans="1:17" ht="24.95" customHeight="1" x14ac:dyDescent="0.2">
      <c r="A110" s="9">
        <v>70419</v>
      </c>
      <c r="B110" s="9" t="str">
        <v>תל יצחק אחוזת פולג</v>
      </c>
      <c r="C110" s="9">
        <v>8971</v>
      </c>
      <c r="D110" s="9">
        <v>0</v>
      </c>
      <c r="E110" s="9">
        <v>0</v>
      </c>
      <c r="F110" s="9" t="str">
        <v>תל אביב</v>
      </c>
      <c r="G110" s="9" t="str">
        <v>471-472/09</v>
      </c>
      <c r="H110" s="9" t="str">
        <v>כשר לרישום</v>
      </c>
      <c r="I110" s="9" t="str">
        <v>V</v>
      </c>
      <c r="J110" s="9">
        <v>2</v>
      </c>
      <c r="K110" s="9" t="str">
        <v>נטלי</v>
      </c>
      <c r="L110" s="9">
        <v>0</v>
      </c>
      <c r="M110" s="9" t="str">
        <v>אירנה איטקיס</v>
      </c>
      <c r="N110" s="9">
        <v>0</v>
      </c>
      <c r="O110" s="9">
        <v>0</v>
      </c>
      <c r="P110" s="9">
        <v>0</v>
      </c>
      <c r="Q110" s="9">
        <v>0</v>
      </c>
    </row>
    <row r="111" spans="1:17" ht="24.95" customHeight="1" x14ac:dyDescent="0.2">
      <c r="A111" s="9">
        <v>70470</v>
      </c>
      <c r="B111" s="9" t="str">
        <v>יד בנימין</v>
      </c>
      <c r="C111" s="9" t="str">
        <v>5446,4726,4303,5984,</v>
      </c>
      <c r="D111" s="9">
        <v>0</v>
      </c>
      <c r="E111" s="9" t="str">
        <v xml:space="preserve">352-09-03-01 </v>
      </c>
      <c r="F111" s="9" t="str">
        <v>תל אביב</v>
      </c>
      <c r="G111" s="9" t="str">
        <v>534-543/09</v>
      </c>
      <c r="H111" s="9" t="str">
        <v>כשר לרישום</v>
      </c>
      <c r="I111" s="9" t="str">
        <v>V</v>
      </c>
      <c r="J111" s="9">
        <v>10</v>
      </c>
      <c r="K111" s="9" t="str">
        <v>אלה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</row>
    <row r="112" spans="1:17" ht="24.95" customHeight="1" x14ac:dyDescent="0.2">
      <c r="A112" s="9">
        <v>70559</v>
      </c>
      <c r="B112" s="9" t="str">
        <v>כפר קאסם מבנן 7 תצר מחדש</v>
      </c>
      <c r="C112" s="9" t="str">
        <v>8864 8865 8948</v>
      </c>
      <c r="D112" s="9">
        <v>0</v>
      </c>
      <c r="E112" s="9">
        <v>0</v>
      </c>
      <c r="F112" s="9" t="str">
        <v>תל אביב</v>
      </c>
      <c r="G112" s="9" t="str">
        <v>68-83/09</v>
      </c>
      <c r="H112" s="9" t="str">
        <v>כשר לרישום</v>
      </c>
      <c r="I112" s="9" t="str">
        <v>V</v>
      </c>
      <c r="J112" s="9">
        <v>16</v>
      </c>
      <c r="K112" s="9" t="str">
        <v>תמרה</v>
      </c>
      <c r="L112" s="9">
        <v>0</v>
      </c>
      <c r="M112" s="9" t="str">
        <v>אירנה איטקיס</v>
      </c>
      <c r="N112" s="9">
        <v>0</v>
      </c>
      <c r="O112" s="9">
        <v>0</v>
      </c>
      <c r="P112" s="9">
        <v>0</v>
      </c>
      <c r="Q112" s="9">
        <v>0</v>
      </c>
    </row>
    <row r="113" spans="1:17" ht="24.95" customHeight="1" x14ac:dyDescent="0.2">
      <c r="A113" s="9">
        <v>60293</v>
      </c>
      <c r="B113" s="9" t="str">
        <v>יסודות נצר חזני תצר</v>
      </c>
      <c r="C113" s="9" t="str">
        <v>שונים</v>
      </c>
      <c r="D113" s="9">
        <v>0</v>
      </c>
      <c r="E113" s="9" t="str">
        <v xml:space="preserve"> 0527-09-03-01-</v>
      </c>
      <c r="F113" s="9" t="str">
        <v>תל אביב</v>
      </c>
      <c r="G113" s="9" t="str">
        <v>784-796/09</v>
      </c>
      <c r="H113" s="9" t="str">
        <v>כשר לרישום</v>
      </c>
      <c r="I113" s="9" t="str">
        <v>V</v>
      </c>
      <c r="J113" s="9">
        <v>13</v>
      </c>
      <c r="K113" s="9" t="str">
        <v>אלה</v>
      </c>
      <c r="L113" s="9">
        <v>0</v>
      </c>
      <c r="M113" s="9">
        <v>0</v>
      </c>
      <c r="N113" s="9" t="str">
        <v>מסרנו נייר לבן , אירנה בודקת</v>
      </c>
      <c r="O113" s="9">
        <v>0</v>
      </c>
      <c r="P113" s="9">
        <v>0</v>
      </c>
      <c r="Q113" s="9">
        <v>0</v>
      </c>
    </row>
    <row r="114" spans="1:17" ht="24.95" customHeight="1" x14ac:dyDescent="0.2">
      <c r="A114" s="9">
        <v>90437</v>
      </c>
      <c r="B114" s="9" t="str">
        <v>ראשון לציון, תצ"ר ע"פ תב"ע רצ/16/3/2/1</v>
      </c>
      <c r="C114" s="9" t="str">
        <v>4746 , 7282</v>
      </c>
      <c r="D114" s="9">
        <v>0</v>
      </c>
      <c r="E114" s="9" t="str">
        <v>0956-10-03-01</v>
      </c>
      <c r="F114" s="9" t="str">
        <v>תל אביב</v>
      </c>
      <c r="G114" s="9" t="str">
        <v>1228-1229/2010</v>
      </c>
      <c r="H114" s="9" t="str">
        <v>כשר לרישום</v>
      </c>
      <c r="I114" s="9" t="str">
        <v>V</v>
      </c>
      <c r="J114" s="9">
        <v>2</v>
      </c>
      <c r="K114" s="9" t="str">
        <v>תמרה</v>
      </c>
      <c r="L114" s="9">
        <v>0</v>
      </c>
      <c r="M114" s="9" t="str">
        <v>אנה רוזנברג</v>
      </c>
      <c r="N114" s="9">
        <v>0</v>
      </c>
      <c r="O114" s="9">
        <v>0</v>
      </c>
      <c r="P114" s="9">
        <v>0</v>
      </c>
      <c r="Q114" s="9">
        <v>0</v>
      </c>
    </row>
    <row r="115" spans="1:17" ht="24.95" customHeight="1" x14ac:dyDescent="0.2">
      <c r="A115" s="9">
        <v>70420</v>
      </c>
      <c r="B115" s="9" t="str">
        <v>לוד צעלוק</v>
      </c>
      <c r="C115" s="9" t="str">
        <v>3958 שומה</v>
      </c>
      <c r="D115" s="9" t="str">
        <v>208 ,209</v>
      </c>
      <c r="E115" s="9" t="str">
        <v>0957-10-03-01</v>
      </c>
      <c r="F115" s="9" t="str">
        <v>תל אביב</v>
      </c>
      <c r="G115" s="9" t="str">
        <v>1230/2010</v>
      </c>
      <c r="H115" s="9" t="str">
        <v>בהמתנה להסדר</v>
      </c>
      <c r="I115" s="9" t="str">
        <v>בהמתנה להסדר</v>
      </c>
      <c r="J115" s="9">
        <v>1</v>
      </c>
      <c r="K115" s="9" t="str">
        <v>תמרה</v>
      </c>
      <c r="L115" s="9">
        <v>0</v>
      </c>
      <c r="M115" s="9" t="str">
        <v>אירנה איטקיס</v>
      </c>
      <c r="N115" s="9" t="str">
        <v>מסרנו מיילרים,מחכים לפקידת ההסדר . כנראה יוטמע בגיליון השדה שבהכנה .</v>
      </c>
      <c r="O115" s="9">
        <v>0</v>
      </c>
      <c r="P115" s="9">
        <v>0</v>
      </c>
      <c r="Q115" s="9">
        <v>0</v>
      </c>
    </row>
    <row r="116" spans="1:17" ht="24.95" customHeight="1" x14ac:dyDescent="0.2">
      <c r="A116" s="9">
        <v>60040</v>
      </c>
      <c r="B116" s="9" t="str">
        <v>אשקלון מתחם 59</v>
      </c>
      <c r="C116" s="9" t="str">
        <v>2870 , 1941</v>
      </c>
      <c r="D116" s="9" t="str">
        <v>שונות</v>
      </c>
      <c r="E116" s="9" t="str">
        <v>1029-10-03-01</v>
      </c>
      <c r="F116" s="9" t="str">
        <v>תל אביב</v>
      </c>
      <c r="G116" s="9" t="str">
        <v>1324-1325/2010</v>
      </c>
      <c r="H116" s="9" t="str">
        <v>כשר לרישום</v>
      </c>
      <c r="I116" s="9" t="str">
        <v>V</v>
      </c>
      <c r="J116" s="9">
        <v>2</v>
      </c>
      <c r="K116" s="9" t="str">
        <v>תמרה</v>
      </c>
      <c r="L116" s="9">
        <v>0</v>
      </c>
      <c r="M116" s="9" t="str">
        <v>קטיה גרמן</v>
      </c>
      <c r="N116" s="9" t="str">
        <v>ביקשתי פגישה עם ורה לבן.
הוספנו מדידה , עידכנו את החלוקה .
נשלח לקטיה גרמן , ישבתי ב- 7.5.2013 עם קטיה .קטיה ביקשה מיילרים
הלקוח טרם שילם את סיום האגרה</v>
      </c>
      <c r="O116" s="9">
        <v>0</v>
      </c>
      <c r="P116" s="9">
        <v>0</v>
      </c>
      <c r="Q116" s="9">
        <v>0</v>
      </c>
    </row>
    <row r="117" spans="1:17" ht="24.95" customHeight="1" x14ac:dyDescent="0.2">
      <c r="A117" s="9">
        <v>40574</v>
      </c>
      <c r="B117" s="9" t="str">
        <v>תל אביב נמל יפו  
תב"ע 2378א</v>
      </c>
      <c r="C117" s="9" t="str">
        <v>7426,7086,7259,7086</v>
      </c>
      <c r="D117" s="9">
        <v>0</v>
      </c>
      <c r="E117" s="9" t="str">
        <v>0280-11-03-01</v>
      </c>
      <c r="F117" s="9" t="str">
        <v>תל אביב</v>
      </c>
      <c r="G117" s="9" t="str">
        <v>372-375/2011</v>
      </c>
      <c r="H117" s="9" t="str">
        <v>כשר לרישום</v>
      </c>
      <c r="I117" s="9" t="str">
        <v>V</v>
      </c>
      <c r="J117" s="9">
        <v>4</v>
      </c>
      <c r="K117" s="9" t="str">
        <v>תמרה</v>
      </c>
      <c r="L117" s="9">
        <v>0</v>
      </c>
      <c r="M117" s="9" t="str">
        <v>אנה רוזנברג</v>
      </c>
      <c r="N117" s="9" t="str">
        <v>מחכים לאישור למרות חוסר ההתאמה לגושי ההסדר החדשים - שלחנו קבצים ב 14.4.2013 אחרי שמפ"י תיקנו את הגוש הגובל .שלחנו פרשה טכנית מעודכנת .
שלחנו מיילרים .</v>
      </c>
      <c r="O117" s="9">
        <v>0</v>
      </c>
      <c r="P117" s="9">
        <v>0</v>
      </c>
      <c r="Q117" s="9">
        <v>0</v>
      </c>
    </row>
    <row r="118" spans="1:17" ht="24.95" customHeight="1" x14ac:dyDescent="0.2">
      <c r="A118" s="9">
        <v>100810</v>
      </c>
      <c r="B118" s="9" t="str">
        <v>תל אביב שכונת הארגזים</v>
      </c>
      <c r="C118" s="9" t="str">
        <v>6137 , 6136</v>
      </c>
      <c r="D118" s="9" t="str">
        <v>שונות</v>
      </c>
      <c r="E118" s="9" t="str">
        <v>0791-12-03-01</v>
      </c>
      <c r="F118" s="9" t="str">
        <v>תל אביב</v>
      </c>
      <c r="G118" s="9" t="str">
        <v>1196-1198/2012</v>
      </c>
      <c r="H118" s="9" t="str">
        <v>כשר לרישום</v>
      </c>
      <c r="I118" s="9" t="str">
        <v>V</v>
      </c>
      <c r="J118" s="9">
        <v>3</v>
      </c>
      <c r="K118" s="9" t="str">
        <v>נטלי</v>
      </c>
      <c r="L118" s="9">
        <v>0</v>
      </c>
      <c r="M118" s="9" t="str">
        <v>קטיה גרמן</v>
      </c>
      <c r="N118" s="9" t="str">
        <v>לריסה ביקשה הבהרות . ישבתי בתאריך 17.1.2013  עם לריסה  יש תיקונים .מסרתי שוב ב 5.2.2013 העברנו  מיילרים - כי שלחו לפע"מ .במגרה של איתמר</v>
      </c>
      <c r="O118" s="9">
        <v>0</v>
      </c>
      <c r="P118" s="9">
        <v>0</v>
      </c>
      <c r="Q118" s="9">
        <v>0</v>
      </c>
    </row>
    <row r="119" spans="1:17" ht="24.95" customHeight="1" x14ac:dyDescent="0.2">
      <c r="A119" s="9">
        <v>70278</v>
      </c>
      <c r="B119" s="9" t="str">
        <v>כפר סבא מצלאווי</v>
      </c>
      <c r="C119" s="9" t="str">
        <v>6426</v>
      </c>
      <c r="D119" s="9" t="str">
        <v>567</v>
      </c>
      <c r="E119" s="9" t="str">
        <v>1031-10-03-01</v>
      </c>
      <c r="F119" s="9" t="str">
        <v>תל אביב</v>
      </c>
      <c r="G119" s="9" t="str">
        <v>1329/2010 </v>
      </c>
      <c r="H119" s="9" t="str">
        <v>כשר לרישום</v>
      </c>
      <c r="I119" s="9" t="str">
        <v>V</v>
      </c>
      <c r="J119" s="9">
        <v>1</v>
      </c>
      <c r="K119" s="9" t="str">
        <v>נטלי</v>
      </c>
      <c r="L119" s="9">
        <v>0</v>
      </c>
      <c r="M119" s="9">
        <v>0</v>
      </c>
      <c r="N119" s="9" t="str">
        <v>מסרנו מיילרים</v>
      </c>
      <c r="O119" s="9">
        <v>0</v>
      </c>
      <c r="P119" s="9">
        <v>0</v>
      </c>
      <c r="Q119" s="9">
        <v>0</v>
      </c>
    </row>
    <row r="120" spans="1:17" ht="24.95" customHeight="1" x14ac:dyDescent="0.2">
      <c r="A120" s="9">
        <v>80234</v>
      </c>
      <c r="B120" s="9" t="str">
        <v>בית חילקיה  הרחבה</v>
      </c>
      <c r="C120" s="9" t="str">
        <v>4726 , 4728</v>
      </c>
      <c r="D120" s="9">
        <v>0</v>
      </c>
      <c r="E120" s="9" t="str">
        <v xml:space="preserve">0210-09-03-01 </v>
      </c>
      <c r="F120" s="9" t="str">
        <v>תל אביב</v>
      </c>
      <c r="G120" s="9" t="str">
        <v>312-313/09</v>
      </c>
      <c r="H120" s="9" t="str">
        <v>כשר לרישום</v>
      </c>
      <c r="I120" s="9" t="str">
        <v>V</v>
      </c>
      <c r="J120" s="9">
        <v>2</v>
      </c>
      <c r="K120" s="9" t="str">
        <v>תמרה</v>
      </c>
      <c r="L120" s="9">
        <v>0</v>
      </c>
      <c r="M120" s="9">
        <v>0</v>
      </c>
      <c r="N120" s="9" t="str">
        <v>מסרנו מיילרים</v>
      </c>
      <c r="O120" s="9">
        <v>0</v>
      </c>
      <c r="P120" s="9">
        <v>0</v>
      </c>
      <c r="Q120" s="9">
        <v>0</v>
      </c>
    </row>
    <row r="121" spans="1:17" ht="24.95" customHeight="1" x14ac:dyDescent="0.2">
      <c r="A121" s="9">
        <v>80443</v>
      </c>
      <c r="B121" s="9" t="str">
        <v>רמלה תצר גאודע</v>
      </c>
      <c r="C121" s="9" t="str">
        <v>4354,7190,4724,5992</v>
      </c>
      <c r="D121" s="9">
        <v>0</v>
      </c>
      <c r="E121" s="9" t="str">
        <v>0683-09-03-01</v>
      </c>
      <c r="F121" s="9" t="str">
        <v>תל אביב</v>
      </c>
      <c r="G121" s="9" t="str">
        <v>1065-1068/09</v>
      </c>
      <c r="H121" s="9" t="str">
        <v>כשר לרישום</v>
      </c>
      <c r="I121" s="9" t="str">
        <v>V</v>
      </c>
      <c r="J121" s="9">
        <v>4</v>
      </c>
      <c r="K121" s="9" t="str">
        <v>קטי</v>
      </c>
      <c r="L121" s="9">
        <v>0</v>
      </c>
      <c r="M121" s="9">
        <v>0</v>
      </c>
      <c r="N121" s="9" t="str">
        <v>ביקורת קבצים</v>
      </c>
      <c r="O121" s="9">
        <v>0</v>
      </c>
      <c r="P121" s="9">
        <v>0</v>
      </c>
      <c r="Q121" s="9">
        <v>0</v>
      </c>
    </row>
    <row r="122" spans="1:17" ht="24.95" customHeight="1" x14ac:dyDescent="0.2">
      <c r="A122" s="9">
        <v>80474</v>
      </c>
      <c r="B122" s="9" t="str">
        <v>פסגת זאב חלקה 49 בגוש 30589</v>
      </c>
      <c r="C122" s="9" t="str">
        <v>30589</v>
      </c>
      <c r="D122" s="9" t="str">
        <v>49</v>
      </c>
      <c r="E122" s="9" t="str">
        <v>18439</v>
      </c>
      <c r="F122" s="9" t="str">
        <v>ירושלים</v>
      </c>
      <c r="G122" s="9" t="str">
        <v>173/09</v>
      </c>
      <c r="H122" s="9" t="str">
        <v>כשר לרישום</v>
      </c>
      <c r="I122" s="9" t="str">
        <v>V</v>
      </c>
      <c r="J122" s="9">
        <v>1</v>
      </c>
      <c r="K122" s="9" t="str">
        <v>נטלי</v>
      </c>
      <c r="L122" s="9">
        <v>0</v>
      </c>
      <c r="M122" s="9" t="str">
        <v>רונית ביקשה מיילר</v>
      </c>
      <c r="N122" s="9">
        <v>0</v>
      </c>
      <c r="O122" s="9">
        <v>0</v>
      </c>
      <c r="P122" s="9">
        <v>0</v>
      </c>
      <c r="Q122" s="9">
        <v>0</v>
      </c>
    </row>
    <row r="123" spans="1:17" ht="24.95" customHeight="1" x14ac:dyDescent="0.2">
      <c r="A123" s="9">
        <v>80637</v>
      </c>
      <c r="B123" s="9" t="str">
        <v>פסגת זאב דרום מזרח</v>
      </c>
      <c r="C123" s="9" t="str">
        <v>30591</v>
      </c>
      <c r="D123" s="9" t="str">
        <v>[912]</v>
      </c>
      <c r="E123" s="9">
        <v>0</v>
      </c>
      <c r="F123" s="9" t="str">
        <v>ירושלים</v>
      </c>
      <c r="G123" s="9" t="str">
        <v>התצר בוטל</v>
      </c>
      <c r="H123" s="9" t="str">
        <v>התצר בוטל</v>
      </c>
      <c r="I123" s="9" t="str">
        <v>בוטל</v>
      </c>
      <c r="J123" s="9">
        <v>0</v>
      </c>
      <c r="K123" s="9" t="str">
        <v>קטי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</row>
    <row r="124" spans="1:17" ht="24.95" customHeight="1" x14ac:dyDescent="0.2">
      <c r="A124" s="9">
        <v>80637</v>
      </c>
      <c r="B124" s="9" t="str">
        <v>פסגת זאב דרום מזרח ומערב</v>
      </c>
      <c r="C124" s="9" t="str">
        <v>7_R30591_A 8_R30591_B</v>
      </c>
      <c r="D124" s="9">
        <v>0</v>
      </c>
      <c r="E124" s="9">
        <v>0</v>
      </c>
      <c r="F124" s="9" t="str">
        <v>ירושלים</v>
      </c>
      <c r="G124" s="9" t="str">
        <v>1294-1303/09</v>
      </c>
      <c r="H124" s="9" t="str">
        <v>מחוז</v>
      </c>
      <c r="I124" s="9" t="str">
        <v>V</v>
      </c>
      <c r="J124" s="9">
        <v>10</v>
      </c>
      <c r="K124" s="9" t="str">
        <v>קטי</v>
      </c>
      <c r="L124" s="9">
        <v>0</v>
      </c>
      <c r="M124" s="9">
        <v>0</v>
      </c>
      <c r="N124" s="9" t="str">
        <v>שלחנו תיקון לאליפסות 1300-1301/09</v>
      </c>
      <c r="O124" s="9">
        <v>0</v>
      </c>
      <c r="P124" s="9">
        <v>0</v>
      </c>
      <c r="Q124" s="9">
        <v>0</v>
      </c>
    </row>
    <row r="125" spans="1:17" ht="24.95" customHeight="1" x14ac:dyDescent="0.2">
      <c r="A125" s="9">
        <v>80637</v>
      </c>
      <c r="B125" s="9" t="str">
        <v>פסגת זאב דרום מזרח ומערב</v>
      </c>
      <c r="C125" s="9" t="str">
        <v>7_R30591_A 8_R30591_B</v>
      </c>
      <c r="D125" s="9">
        <v>0</v>
      </c>
      <c r="E125" s="9">
        <v>0</v>
      </c>
      <c r="F125" s="9" t="str">
        <v>ירושלים</v>
      </c>
      <c r="G125" s="9" t="str">
        <v>1300-1301/09</v>
      </c>
      <c r="H125" s="9" t="str">
        <v>כשר לרישום</v>
      </c>
      <c r="I125" s="9" t="str">
        <v>V</v>
      </c>
      <c r="J125" s="9">
        <v>2</v>
      </c>
      <c r="K125" s="9" t="str">
        <v>קטי</v>
      </c>
      <c r="L125" s="9">
        <v>0</v>
      </c>
      <c r="M125" s="9" t="str">
        <v>מיכאל וינשטיין</v>
      </c>
      <c r="N125" s="9" t="str">
        <v>שלחנו תיקון לאליפסות 1300-1301/09</v>
      </c>
      <c r="O125" s="9">
        <v>0</v>
      </c>
      <c r="P125" s="9">
        <v>0</v>
      </c>
      <c r="Q125" s="9">
        <v>0</v>
      </c>
    </row>
    <row r="126" spans="1:17" ht="24.95" customHeight="1" x14ac:dyDescent="0.2">
      <c r="A126" s="9">
        <v>80736</v>
      </c>
      <c r="B126" s="9" t="str">
        <v>נתניה מקבץ דיור</v>
      </c>
      <c r="C126" s="9">
        <v>8266</v>
      </c>
      <c r="D126" s="9" t="str">
        <v>8,9,12,13</v>
      </c>
      <c r="E126" s="9" t="str">
        <v>0202-09-03-01</v>
      </c>
      <c r="F126" s="9" t="str">
        <v>תל אביב</v>
      </c>
      <c r="G126" s="9" t="str">
        <v>294/2009</v>
      </c>
      <c r="H126" s="9" t="str">
        <v>כשר לרישום</v>
      </c>
      <c r="I126" s="9" t="str">
        <v>V</v>
      </c>
      <c r="J126" s="9">
        <v>1</v>
      </c>
      <c r="K126" s="9" t="str">
        <v>תמרה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</row>
    <row r="127" spans="1:17" ht="24.95" customHeight="1" x14ac:dyDescent="0.2">
      <c r="A127" s="9">
        <v>90005</v>
      </c>
      <c r="B127" s="9" t="str">
        <v>פסגת זאב תצר לתשצים  5-53-7 ,5-53-10</v>
      </c>
      <c r="C127" s="9" t="str">
        <v>31304</v>
      </c>
      <c r="D127" s="9" t="str">
        <v>2</v>
      </c>
      <c r="E127" s="9" t="str">
        <v>0608-09-04-01</v>
      </c>
      <c r="F127" s="9" t="str">
        <v>ירושלים</v>
      </c>
      <c r="G127" s="9" t="str">
        <v>940/09</v>
      </c>
      <c r="H127" s="9" t="str">
        <v>כשר לרישום</v>
      </c>
      <c r="I127" s="9" t="str">
        <v>V</v>
      </c>
      <c r="J127" s="9">
        <v>1</v>
      </c>
      <c r="K127" s="9" t="str">
        <v>קטי</v>
      </c>
      <c r="L127" s="9">
        <v>0</v>
      </c>
      <c r="M127" s="9">
        <v>0</v>
      </c>
      <c r="N127" s="9" t="str">
        <v>שלחנו מיילרים</v>
      </c>
      <c r="O127" s="9">
        <v>0</v>
      </c>
      <c r="P127" s="9">
        <v>0</v>
      </c>
      <c r="Q127" s="9">
        <v>0</v>
      </c>
    </row>
    <row r="128" spans="1:17" ht="24.95" customHeight="1" x14ac:dyDescent="0.2">
      <c r="A128" s="9">
        <v>90005</v>
      </c>
      <c r="B128" s="9" t="str">
        <v>פסגת זאב תצר לתשצים  5-53-7 ,5-53-10</v>
      </c>
      <c r="C128" s="9" t="str">
        <v>31304</v>
      </c>
      <c r="D128" s="9" t="str">
        <v>3</v>
      </c>
      <c r="E128" s="9" t="str">
        <v>0609-09-04-01</v>
      </c>
      <c r="F128" s="9" t="str">
        <v>ירושלים</v>
      </c>
      <c r="G128" s="9" t="str">
        <v>941/09</v>
      </c>
      <c r="H128" s="9" t="str">
        <v>כשר לרישום</v>
      </c>
      <c r="I128" s="9" t="str">
        <v>V</v>
      </c>
      <c r="J128" s="9">
        <v>1</v>
      </c>
      <c r="K128" s="9" t="str">
        <v>קטי</v>
      </c>
      <c r="L128" s="9">
        <v>0</v>
      </c>
      <c r="M128" s="9">
        <v>0</v>
      </c>
      <c r="N128" s="9" t="str">
        <v>שלחנו מיילרים</v>
      </c>
      <c r="O128" s="9">
        <v>0</v>
      </c>
      <c r="P128" s="9">
        <v>0</v>
      </c>
      <c r="Q128" s="9">
        <v>0</v>
      </c>
    </row>
    <row r="129" spans="1:17" ht="24.95" customHeight="1" x14ac:dyDescent="0.2">
      <c r="A129" s="9">
        <v>90012</v>
      </c>
      <c r="B129" s="9" t="str">
        <v>ירושלים בית יואל</v>
      </c>
      <c r="C129" s="9" t="str">
        <v>30035 שומה</v>
      </c>
      <c r="D129" s="9">
        <v>0</v>
      </c>
      <c r="E129" s="9">
        <v>0</v>
      </c>
      <c r="F129" s="9" t="str">
        <v>ירושלים</v>
      </c>
      <c r="G129" s="9" t="str">
        <v>836/2010</v>
      </c>
      <c r="H129" s="9" t="str">
        <v>מחוז</v>
      </c>
      <c r="I129" s="9" t="str">
        <v>בוטל</v>
      </c>
      <c r="J129" s="9">
        <v>1</v>
      </c>
      <c r="K129" s="9" t="str">
        <v>קטי</v>
      </c>
      <c r="L129" s="9">
        <v>0</v>
      </c>
      <c r="M129" s="9" t="str">
        <v>רונית</v>
      </c>
      <c r="N129" s="9" t="str">
        <v>שלחו הערות</v>
      </c>
      <c r="O129" s="9">
        <v>0</v>
      </c>
      <c r="P129" s="9">
        <v>0</v>
      </c>
      <c r="Q129" s="9">
        <v>0</v>
      </c>
    </row>
    <row r="130" spans="1:17" ht="24.95" customHeight="1" x14ac:dyDescent="0.2">
      <c r="A130" s="9">
        <v>90392</v>
      </c>
      <c r="B130" s="9" t="str">
        <v>צור הדסה ב יאיר</v>
      </c>
      <c r="C130" s="9" t="str">
        <v>29877</v>
      </c>
      <c r="D130" s="9" t="str">
        <v>112-115</v>
      </c>
      <c r="E130" s="9" t="str">
        <v>20709</v>
      </c>
      <c r="F130" s="9" t="str">
        <v>ירושלים</v>
      </c>
      <c r="G130" s="9" t="str">
        <v>392/2011</v>
      </c>
      <c r="H130" s="9" t="str">
        <v>כשר לרישום</v>
      </c>
      <c r="I130" s="9" t="str">
        <v>V</v>
      </c>
      <c r="J130" s="9">
        <v>1</v>
      </c>
      <c r="K130" s="9" t="str">
        <v>תמרה</v>
      </c>
      <c r="L130" s="9">
        <v>0</v>
      </c>
      <c r="M130" s="9">
        <v>0</v>
      </c>
      <c r="N130" s="9" t="str">
        <v>אצל רונית אחרי שדה</v>
      </c>
      <c r="O130" s="9">
        <v>0</v>
      </c>
      <c r="P130" s="9">
        <v>0</v>
      </c>
      <c r="Q130" s="9">
        <v>0</v>
      </c>
    </row>
    <row r="131" spans="1:17" ht="24.95" customHeight="1" x14ac:dyDescent="0.2">
      <c r="A131" s="9">
        <v>90013</v>
      </c>
      <c r="B131" s="9" t="str">
        <v>שורש מלון</v>
      </c>
      <c r="C131" s="9" t="str">
        <v>29706</v>
      </c>
      <c r="D131" s="9" t="str">
        <v>11,13,30</v>
      </c>
      <c r="E131" s="9" t="str">
        <v>351-10-04-01</v>
      </c>
      <c r="F131" s="9" t="str">
        <v>ירושלים</v>
      </c>
      <c r="G131" s="9" t="str">
        <v>442/10</v>
      </c>
      <c r="H131" s="9" t="str">
        <v>כשר לרישום</v>
      </c>
      <c r="I131" s="9" t="str">
        <v>V</v>
      </c>
      <c r="J131" s="9">
        <v>1</v>
      </c>
      <c r="K131" s="9" t="str">
        <v>קטי</v>
      </c>
      <c r="L131" s="9">
        <v>0</v>
      </c>
      <c r="M131" s="9" t="str">
        <v>רונית</v>
      </c>
      <c r="N131" s="9" t="str">
        <v>מסרנו מיילרים</v>
      </c>
      <c r="O131" s="9">
        <v>0</v>
      </c>
      <c r="P131" s="9">
        <v>0</v>
      </c>
      <c r="Q131" s="9">
        <v>0</v>
      </c>
    </row>
    <row r="132" spans="1:17" ht="24.95" customHeight="1" x14ac:dyDescent="0.2">
      <c r="A132" s="9">
        <v>90208</v>
      </c>
      <c r="B132" s="9" t="str">
        <v>רהט דרום מתחם 2</v>
      </c>
      <c r="C132" s="9" t="str">
        <v>100226/3</v>
      </c>
      <c r="D132" s="9" t="str">
        <v>[13],[16]</v>
      </c>
      <c r="E132" s="9">
        <v>0</v>
      </c>
      <c r="F132" s="9" t="str">
        <v>דרום</v>
      </c>
      <c r="G132" s="9" t="str">
        <v>295-299/10</v>
      </c>
      <c r="H132" s="9" t="str">
        <v>כשר לרישום</v>
      </c>
      <c r="I132" s="9" t="str">
        <v>V</v>
      </c>
      <c r="J132" s="9">
        <v>5</v>
      </c>
      <c r="K132" s="9" t="str">
        <v>קטי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</row>
    <row r="133" spans="1:17" ht="24.95" customHeight="1" x14ac:dyDescent="0.2">
      <c r="A133" s="9">
        <v>968002</v>
      </c>
      <c r="B133" s="9" t="str">
        <v>רמת גן כנפי נשרים</v>
      </c>
      <c r="C133" s="9">
        <v>6157</v>
      </c>
      <c r="D133" s="9" t="str">
        <v>12, 84,...</v>
      </c>
      <c r="E133" s="9" t="str">
        <v>95/2001</v>
      </c>
      <c r="F133" s="9" t="str">
        <v>תל אביב</v>
      </c>
      <c r="G133" s="9" t="str">
        <v>335/2001</v>
      </c>
      <c r="H133" s="9" t="str">
        <v>כשר לרישום</v>
      </c>
      <c r="I133" s="9" t="str">
        <v>V</v>
      </c>
      <c r="J133" s="9">
        <v>1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</row>
    <row r="134" spans="1:17" ht="24.95" customHeight="1" x14ac:dyDescent="0.2">
      <c r="A134" s="9">
        <v>969039</v>
      </c>
      <c r="B134" s="9" t="str">
        <v>אשקלון</v>
      </c>
      <c r="C134" s="9" t="str">
        <v>1941, 1938</v>
      </c>
      <c r="D134" s="9">
        <v>0</v>
      </c>
      <c r="E134" s="9" t="str">
        <v>49-50/99</v>
      </c>
      <c r="F134" s="9" t="str">
        <v>תל אביב</v>
      </c>
      <c r="G134" s="9" t="str">
        <v>123-124/99</v>
      </c>
      <c r="H134" s="9" t="str">
        <v>כשר לרישום</v>
      </c>
      <c r="I134" s="9" t="str">
        <v>V</v>
      </c>
      <c r="J134" s="9">
        <v>2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</row>
    <row r="135" spans="1:17" ht="24.95" customHeight="1" x14ac:dyDescent="0.2">
      <c r="A135" s="9">
        <v>969039</v>
      </c>
      <c r="B135" s="9" t="str">
        <v>אשקלון</v>
      </c>
      <c r="C135" s="9">
        <v>1942</v>
      </c>
      <c r="D135" s="9">
        <v>138</v>
      </c>
      <c r="E135" s="9" t="str">
        <v>19/99</v>
      </c>
      <c r="F135" s="9" t="str">
        <v>תל אביב</v>
      </c>
      <c r="G135" s="9" t="str">
        <v>89/99</v>
      </c>
      <c r="H135" s="9" t="str">
        <v>כשר לרישום</v>
      </c>
      <c r="I135" s="9" t="str">
        <v>V</v>
      </c>
      <c r="J135" s="9">
        <v>1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</row>
    <row r="136" spans="1:17" ht="24.95" customHeight="1" x14ac:dyDescent="0.2">
      <c r="A136" s="9">
        <v>969144</v>
      </c>
      <c r="B136" s="9" t="str">
        <v>צהלה דרום ב' 1836</v>
      </c>
      <c r="C136" s="9" t="str">
        <v>6336, 6224</v>
      </c>
      <c r="D136" s="9" t="str">
        <v>300, 15</v>
      </c>
      <c r="E136" s="9" t="str">
        <v>110/98</v>
      </c>
      <c r="F136" s="9" t="str">
        <v>תל אביב</v>
      </c>
      <c r="G136" s="9" t="str">
        <v>461/98 (6336), 462/98 (6224)</v>
      </c>
      <c r="H136" s="9" t="str">
        <v>כשר לרישום</v>
      </c>
      <c r="I136" s="9" t="str">
        <v>V</v>
      </c>
      <c r="J136" s="9">
        <v>2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</row>
    <row r="137" spans="1:17" ht="24.95" customHeight="1" x14ac:dyDescent="0.2">
      <c r="A137" s="9">
        <v>969186</v>
      </c>
      <c r="B137" s="9" t="str">
        <v>יפו ד'</v>
      </c>
      <c r="C137" s="9" t="str">
        <v>6999, 7050, 7048</v>
      </c>
      <c r="D137" s="9">
        <v>0</v>
      </c>
      <c r="E137" s="9" t="str">
        <v>183-185/2000</v>
      </c>
      <c r="F137" s="9" t="str">
        <v>תל אביב</v>
      </c>
      <c r="G137" s="9" t="str">
        <v>875-877/2000</v>
      </c>
      <c r="H137" s="9" t="str">
        <v>כשר לרישום</v>
      </c>
      <c r="I137" s="9" t="str">
        <v>V</v>
      </c>
      <c r="J137" s="9">
        <v>3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</row>
    <row r="138" spans="1:17" ht="24.95" customHeight="1" x14ac:dyDescent="0.2">
      <c r="A138" s="9">
        <v>969413</v>
      </c>
      <c r="B138" s="9" t="str">
        <v>חיפה תש"צ 5</v>
      </c>
      <c r="C138" s="9">
        <v>10870</v>
      </c>
      <c r="D138" s="9">
        <v>48</v>
      </c>
      <c r="E138" s="9" t="str">
        <v>42/2001</v>
      </c>
      <c r="F138" s="9" t="str">
        <v>חיפה</v>
      </c>
      <c r="G138" s="9" t="str">
        <v>459/2001</v>
      </c>
      <c r="H138" s="9" t="str">
        <v>כשר לרישום</v>
      </c>
      <c r="I138" s="9" t="str">
        <v>V</v>
      </c>
      <c r="J138" s="9">
        <v>1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</row>
    <row r="139" spans="1:17" ht="24.95" customHeight="1" x14ac:dyDescent="0.2">
      <c r="A139" s="9">
        <v>969413</v>
      </c>
      <c r="B139" s="9" t="str">
        <v>חיפה לאון בלום</v>
      </c>
      <c r="C139" s="9">
        <v>10870</v>
      </c>
      <c r="D139" s="9" t="str">
        <v>[4]</v>
      </c>
      <c r="E139" s="9" t="str">
        <v>33/2002</v>
      </c>
      <c r="F139" s="9" t="str">
        <v>חיפה</v>
      </c>
      <c r="G139" s="9" t="str">
        <v>552/2002</v>
      </c>
      <c r="H139" s="9" t="str">
        <v>כשר לרישום</v>
      </c>
      <c r="I139" s="9" t="str">
        <v>V</v>
      </c>
      <c r="J139" s="9">
        <v>1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</row>
    <row r="140" spans="1:17" ht="24.95" customHeight="1" x14ac:dyDescent="0.2">
      <c r="A140" s="9">
        <v>969414</v>
      </c>
      <c r="B140" s="9" t="str">
        <v>קרית ביאליק</v>
      </c>
      <c r="C140" s="9">
        <v>10446</v>
      </c>
      <c r="D140" s="9" t="str">
        <v>92,89</v>
      </c>
      <c r="E140" s="9" t="str">
        <v>38/2000</v>
      </c>
      <c r="F140" s="9" t="str">
        <v>חיפה</v>
      </c>
      <c r="G140" s="9" t="str">
        <v>584/2000</v>
      </c>
      <c r="H140" s="9" t="str">
        <v>כשר לרישום</v>
      </c>
      <c r="I140" s="9" t="str">
        <v>V</v>
      </c>
      <c r="J140" s="9">
        <v>1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</row>
    <row r="141" spans="1:17" ht="24.95" customHeight="1" x14ac:dyDescent="0.2">
      <c r="A141" s="9">
        <v>971003</v>
      </c>
      <c r="B141" s="9" t="str">
        <v>רמת השרון המחתרות</v>
      </c>
      <c r="C141" s="9">
        <v>6599</v>
      </c>
      <c r="D141" s="9" t="str">
        <v>658-723</v>
      </c>
      <c r="E141" s="9">
        <v>0</v>
      </c>
      <c r="F141" s="9" t="str">
        <v>תל אביב</v>
      </c>
      <c r="G141" s="9" t="str">
        <v>111-112/2000</v>
      </c>
      <c r="H141" s="9" t="str">
        <v>כשר לרישום</v>
      </c>
      <c r="I141" s="9" t="str">
        <v>V</v>
      </c>
      <c r="J141" s="9">
        <v>2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</row>
    <row r="142" spans="1:17" ht="24.95" customHeight="1" x14ac:dyDescent="0.2">
      <c r="A142" s="9">
        <v>971192</v>
      </c>
      <c r="B142" s="9" t="str">
        <v>מתחם לינקולן</v>
      </c>
      <c r="C142" s="9">
        <v>7103</v>
      </c>
      <c r="D142" s="9">
        <v>112</v>
      </c>
      <c r="E142" s="9" t="str">
        <v>203-205/99</v>
      </c>
      <c r="F142" s="9" t="str">
        <v>תל אביב</v>
      </c>
      <c r="G142" s="9" t="str">
        <v>671-673/2000</v>
      </c>
      <c r="H142" s="9" t="str">
        <v>כשר לרישום</v>
      </c>
      <c r="I142" s="9" t="str">
        <v>V</v>
      </c>
      <c r="J142" s="9">
        <v>3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</row>
    <row r="143" spans="1:17" ht="24.95" customHeight="1" x14ac:dyDescent="0.2">
      <c r="A143" s="9">
        <v>971346</v>
      </c>
      <c r="B143" s="9" t="str">
        <v>קרית גת</v>
      </c>
      <c r="C143" s="9">
        <v>1832</v>
      </c>
      <c r="D143" s="9" t="str">
        <v>21,20</v>
      </c>
      <c r="E143" s="9" t="str">
        <v>23-24/2000</v>
      </c>
      <c r="F143" s="9" t="str">
        <v>דרום</v>
      </c>
      <c r="G143" s="9" t="str">
        <v>1005-1006/2000</v>
      </c>
      <c r="H143" s="9" t="str">
        <v>כשר לרישום</v>
      </c>
      <c r="I143" s="9" t="str">
        <v>V</v>
      </c>
      <c r="J143" s="9">
        <v>2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</row>
    <row r="144" spans="1:17" ht="24.95" customHeight="1" x14ac:dyDescent="0.2">
      <c r="A144" s="9">
        <v>971352</v>
      </c>
      <c r="B144" s="9" t="str">
        <v>נהורה</v>
      </c>
      <c r="C144" s="9" t="str">
        <v>1322, 1323</v>
      </c>
      <c r="D144" s="9" t="str">
        <v>26,44, 1,2,3</v>
      </c>
      <c r="E144" s="9" t="str">
        <v>4-9/2001 פרויקט 7648</v>
      </c>
      <c r="F144" s="9" t="str">
        <v>דרום</v>
      </c>
      <c r="G144" s="9" t="str">
        <v>732-737/2002</v>
      </c>
      <c r="H144" s="9" t="str">
        <v>כשר לרישום</v>
      </c>
      <c r="I144" s="9" t="str">
        <v>V</v>
      </c>
      <c r="J144" s="9">
        <v>6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</row>
    <row r="145" spans="1:17" ht="24.95" customHeight="1" x14ac:dyDescent="0.2">
      <c r="A145" s="9">
        <v>971523</v>
      </c>
      <c r="B145" s="9" t="str">
        <v>אשקלון כוכב הצפון תשלו"ז</v>
      </c>
      <c r="C145" s="9" t="str">
        <v>1201, 1206, 1296, 1202</v>
      </c>
      <c r="D145" s="9" t="str">
        <v>2-4… ,28 ,93,94,17</v>
      </c>
      <c r="E145" s="9" t="str">
        <v>264-268/2000</v>
      </c>
      <c r="F145" s="9" t="str">
        <v>תל אביב</v>
      </c>
      <c r="G145" s="9" t="str">
        <v>1183/2000, 1187/2000</v>
      </c>
      <c r="H145" s="9" t="str">
        <v>כשר לרישום</v>
      </c>
      <c r="I145" s="9" t="str">
        <v>V</v>
      </c>
      <c r="J145" s="9">
        <v>5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</row>
    <row r="146" spans="1:17" ht="24.95" customHeight="1" x14ac:dyDescent="0.2">
      <c r="A146" s="9">
        <v>971860</v>
      </c>
      <c r="B146" s="9" t="str">
        <v>נס ציונה נס/119</v>
      </c>
      <c r="C146" s="9" t="str">
        <v>3750, 3754, 3853</v>
      </c>
      <c r="D146" s="9" t="str">
        <v>36,61,62</v>
      </c>
      <c r="E146" s="9" t="str">
        <v>48-50/2001</v>
      </c>
      <c r="F146" s="9" t="str">
        <v>תל אביב</v>
      </c>
      <c r="G146" s="9" t="str">
        <v>15-17/2002</v>
      </c>
      <c r="H146" s="9" t="str">
        <v>כשר לרישום</v>
      </c>
      <c r="I146" s="9" t="str">
        <v>V</v>
      </c>
      <c r="J146" s="9">
        <v>3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</row>
    <row r="147" spans="1:17" ht="24.95" customHeight="1" x14ac:dyDescent="0.2">
      <c r="A147" s="9" t="str">
        <v>971938</v>
      </c>
      <c r="B147" s="9" t="str">
        <v>אשקלון מתחם אורט</v>
      </c>
      <c r="C147" s="9" t="str">
        <v>1932 ,1942</v>
      </c>
      <c r="D147" s="9">
        <v>0</v>
      </c>
      <c r="E147" s="9" t="str">
        <v>306-307/2003</v>
      </c>
      <c r="F147" s="9" t="str">
        <v>תל אביב</v>
      </c>
      <c r="G147" s="9" t="str">
        <v>98-99/04</v>
      </c>
      <c r="H147" s="9" t="str">
        <v>כשר לרישום</v>
      </c>
      <c r="I147" s="9" t="str">
        <v>V</v>
      </c>
      <c r="J147" s="9">
        <v>2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</row>
    <row r="148" spans="1:17" ht="24.95" customHeight="1" x14ac:dyDescent="0.2">
      <c r="A148" s="9">
        <v>980022</v>
      </c>
      <c r="B148" s="9" t="str">
        <v>תל אביב כוכב הצפון</v>
      </c>
      <c r="C148" s="9" t="str">
        <v>6634, 6635, 6648, 6798</v>
      </c>
      <c r="D148" s="9" t="str">
        <v>13, 13, 11, 3</v>
      </c>
      <c r="E148" s="9" t="str">
        <v>256-261/2000</v>
      </c>
      <c r="F148" s="9" t="str">
        <v>תל אביב</v>
      </c>
      <c r="G148" s="9" t="str">
        <v>1175-1180/2000</v>
      </c>
      <c r="H148" s="9" t="str">
        <v>כשר לרישום</v>
      </c>
      <c r="I148" s="9" t="str">
        <v>V</v>
      </c>
      <c r="J148" s="9">
        <v>6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</row>
    <row r="149" spans="1:17" ht="24.95" customHeight="1" x14ac:dyDescent="0.2">
      <c r="A149" s="9" t="str">
        <v>980091</v>
      </c>
      <c r="B149" s="9" t="str">
        <v>נאות אחוה</v>
      </c>
      <c r="C149" s="9" t="str">
        <v>2720</v>
      </c>
      <c r="D149" s="9">
        <v>0</v>
      </c>
      <c r="E149" s="9" t="str">
        <v>327-328/04</v>
      </c>
      <c r="F149" s="9" t="str">
        <v>תל אביב</v>
      </c>
      <c r="G149" s="9" t="str">
        <v>1527-1528/04</v>
      </c>
      <c r="H149" s="9" t="str">
        <v>כשר לרישום</v>
      </c>
      <c r="I149" s="9" t="str">
        <v>V</v>
      </c>
      <c r="J149" s="9">
        <v>2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</row>
    <row r="150" spans="1:17" ht="24.95" customHeight="1" x14ac:dyDescent="0.2">
      <c r="A150" s="9">
        <v>980128</v>
      </c>
      <c r="B150" s="9" t="str">
        <v>תימורים</v>
      </c>
      <c r="C150" s="9">
        <v>2731</v>
      </c>
      <c r="D150" s="9" t="str">
        <v>23,2</v>
      </c>
      <c r="E150" s="9" t="str">
        <v>140-141/2000</v>
      </c>
      <c r="F150" s="9" t="str">
        <v>תל אביב</v>
      </c>
      <c r="G150" s="9" t="str">
        <v>695-696/2000</v>
      </c>
      <c r="H150" s="9" t="str">
        <v>כשר לרישום</v>
      </c>
      <c r="I150" s="9" t="str">
        <v>V</v>
      </c>
      <c r="J150" s="9">
        <v>2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</row>
    <row r="151" spans="1:17" ht="24.95" customHeight="1" x14ac:dyDescent="0.2">
      <c r="A151" s="9">
        <v>980136</v>
      </c>
      <c r="B151" s="9" t="str">
        <v>בת – ים קחטן</v>
      </c>
      <c r="C151" s="9">
        <v>7129</v>
      </c>
      <c r="D151" s="9">
        <v>95</v>
      </c>
      <c r="E151" s="9" t="str">
        <v>90/2000</v>
      </c>
      <c r="F151" s="9" t="str">
        <v>תל אביב</v>
      </c>
      <c r="G151" s="9" t="str">
        <v>986/2000</v>
      </c>
      <c r="H151" s="9" t="str">
        <v>כשר לרישום</v>
      </c>
      <c r="I151" s="9" t="str">
        <v>V</v>
      </c>
      <c r="J151" s="9">
        <v>1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</row>
    <row r="152" spans="1:17" ht="24.95" customHeight="1" x14ac:dyDescent="0.2">
      <c r="A152" s="9">
        <v>980137</v>
      </c>
      <c r="B152" s="9" t="str">
        <v>אשדוד קחטן</v>
      </c>
      <c r="C152" s="9">
        <v>2189</v>
      </c>
      <c r="D152" s="9">
        <v>16</v>
      </c>
      <c r="E152" s="9" t="str">
        <v>89/2000</v>
      </c>
      <c r="F152" s="9" t="str">
        <v>תל אביב</v>
      </c>
      <c r="G152" s="9" t="str">
        <v>670/2000</v>
      </c>
      <c r="H152" s="9" t="str">
        <v>כשר לרישום</v>
      </c>
      <c r="I152" s="9" t="str">
        <v>V</v>
      </c>
      <c r="J152" s="9">
        <v>1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</row>
    <row r="153" spans="1:17" ht="24.95" customHeight="1" x14ac:dyDescent="0.2">
      <c r="A153" s="9">
        <v>980141</v>
      </c>
      <c r="B153" s="9" t="str">
        <v>בת הדר</v>
      </c>
      <c r="C153" s="9" t="str">
        <v>1448, 2574</v>
      </c>
      <c r="D153" s="9" t="str">
        <v>5-8</v>
      </c>
      <c r="E153" s="9" t="str">
        <v>237/2000, 240/2000</v>
      </c>
      <c r="F153" s="9" t="str">
        <v>תל אביב</v>
      </c>
      <c r="G153" s="9" t="str">
        <v>1166/2000 - 1169/2000</v>
      </c>
      <c r="H153" s="9" t="str">
        <v>כשר לרישום</v>
      </c>
      <c r="I153" s="9" t="str">
        <v>V</v>
      </c>
      <c r="J153" s="9">
        <v>4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</row>
    <row r="154" spans="1:17" ht="24.95" customHeight="1" x14ac:dyDescent="0.2">
      <c r="A154" s="9">
        <v>980141</v>
      </c>
      <c r="B154" s="9" t="str">
        <v>בת הדר</v>
      </c>
      <c r="C154" s="9" t="str">
        <v>2601</v>
      </c>
      <c r="D154" s="9" t="str">
        <v>6,13,17</v>
      </c>
      <c r="E154" s="9" t="str">
        <v>42/2002</v>
      </c>
      <c r="F154" s="9" t="str">
        <v>תל אביב</v>
      </c>
      <c r="G154" s="9" t="str">
        <v>110/2002</v>
      </c>
      <c r="H154" s="9" t="str">
        <v>כשר לרישום</v>
      </c>
      <c r="I154" s="9" t="str">
        <v>V</v>
      </c>
      <c r="J154" s="9">
        <v>1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</row>
    <row r="155" spans="1:17" ht="24.95" customHeight="1" x14ac:dyDescent="0.2">
      <c r="A155" s="9">
        <v>980183</v>
      </c>
      <c r="B155" s="9" t="str">
        <v>גילה רובינשטיין</v>
      </c>
      <c r="C155" s="9">
        <v>28046</v>
      </c>
      <c r="D155" s="9">
        <v>48</v>
      </c>
      <c r="E155" s="9" t="str">
        <v>כשר לרישום</v>
      </c>
      <c r="F155" s="9" t="str">
        <v>ירושלים</v>
      </c>
      <c r="G155" s="9" t="str">
        <v>230/00</v>
      </c>
      <c r="H155" s="9" t="str">
        <v>כשר לרישום</v>
      </c>
      <c r="I155" s="9" t="str">
        <v>V</v>
      </c>
      <c r="J155" s="9">
        <v>1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</row>
    <row r="156" spans="1:17" ht="24.95" customHeight="1" x14ac:dyDescent="0.2">
      <c r="A156" s="9">
        <v>980262</v>
      </c>
      <c r="B156" s="9" t="str">
        <v>ירקונה הרחבה</v>
      </c>
      <c r="C156" s="9" t="str">
        <v>6449</v>
      </c>
      <c r="D156" s="9" t="str">
        <v>23,24</v>
      </c>
      <c r="E156" s="9" t="str">
        <v>296/2000</v>
      </c>
      <c r="F156" s="9" t="str">
        <v>תל אביב</v>
      </c>
      <c r="G156" s="9" t="str">
        <v>135/2001</v>
      </c>
      <c r="H156" s="9" t="str">
        <v>כשר לרישום</v>
      </c>
      <c r="I156" s="9" t="str">
        <v>V</v>
      </c>
      <c r="J156" s="9">
        <v>1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</row>
    <row r="157" spans="1:17" ht="24.95" customHeight="1" x14ac:dyDescent="0.2">
      <c r="A157" s="9">
        <v>980435</v>
      </c>
      <c r="B157" s="9" t="str">
        <v>חיפה יזרעאליה</v>
      </c>
      <c r="C157" s="9" t="str">
        <v xml:space="preserve">  10881 10922</v>
      </c>
      <c r="D157" s="9" t="str">
        <v>20         22,23</v>
      </c>
      <c r="E157" s="9" t="str">
        <v>19-20/2000</v>
      </c>
      <c r="F157" s="9" t="str">
        <v>חיפה</v>
      </c>
      <c r="G157" s="9" t="str">
        <v>582-583/2000</v>
      </c>
      <c r="H157" s="9" t="str">
        <v>כשר לרישום</v>
      </c>
      <c r="I157" s="9" t="str">
        <v>V</v>
      </c>
      <c r="J157" s="9">
        <v>2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</row>
    <row r="158" spans="1:17" ht="24.95" customHeight="1" x14ac:dyDescent="0.2">
      <c r="A158" s="9">
        <v>980451</v>
      </c>
      <c r="B158" s="9" t="str">
        <v>צומת כנות</v>
      </c>
      <c r="C158" s="9" t="str">
        <v>4990</v>
      </c>
      <c r="D158" s="9" t="str">
        <v>14</v>
      </c>
      <c r="E158" s="9" t="str">
        <v>83/2002</v>
      </c>
      <c r="F158" s="9" t="str">
        <v>תל אביב</v>
      </c>
      <c r="G158" s="9" t="str">
        <v>442/02</v>
      </c>
      <c r="H158" s="9" t="str">
        <v>כשר לרישום</v>
      </c>
      <c r="I158" s="9" t="str">
        <v>V</v>
      </c>
      <c r="J158" s="9">
        <v>1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</row>
    <row r="159" spans="1:17" ht="24.95" customHeight="1" x14ac:dyDescent="0.2">
      <c r="A159" s="9">
        <v>980630</v>
      </c>
      <c r="B159" s="9" t="str">
        <v>צהלה מנרב</v>
      </c>
      <c r="C159" s="9">
        <v>6624</v>
      </c>
      <c r="D159" s="9" t="str">
        <v>[101]-[114]</v>
      </c>
      <c r="E159" s="9" t="str">
        <v>290/2001</v>
      </c>
      <c r="F159" s="9" t="str">
        <v>תל אביב</v>
      </c>
      <c r="G159" s="9" t="str">
        <v>215/02</v>
      </c>
      <c r="H159" s="9" t="str">
        <v>כשר לרישום</v>
      </c>
      <c r="I159" s="9" t="str">
        <v>V</v>
      </c>
      <c r="J159" s="9">
        <v>1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</row>
    <row r="160" spans="1:17" ht="24.95" customHeight="1" x14ac:dyDescent="0.2">
      <c r="A160" s="9">
        <v>980631</v>
      </c>
      <c r="B160" s="9" t="str">
        <v>גן יבנה 106</v>
      </c>
      <c r="C160" s="9" t="str">
        <v>564, 547, 545,544</v>
      </c>
      <c r="D160" s="9" t="str">
        <v>קלרה</v>
      </c>
      <c r="E160" s="9" t="str">
        <v>282-286/2001</v>
      </c>
      <c r="F160" s="9" t="str">
        <v>תל אביב</v>
      </c>
      <c r="G160" s="9" t="str">
        <v>787-791/2001</v>
      </c>
      <c r="H160" s="9" t="str">
        <v>כשר לרישום</v>
      </c>
      <c r="I160" s="9" t="str">
        <v>V</v>
      </c>
      <c r="J160" s="9">
        <v>5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</row>
    <row r="161" spans="1:17" ht="24.95" customHeight="1" x14ac:dyDescent="0.2">
      <c r="A161" s="9">
        <v>980760</v>
      </c>
      <c r="B161" s="9" t="str">
        <v>ג'יסר א זרקא</v>
      </c>
      <c r="C161" s="9" t="str">
        <v>10397-8</v>
      </c>
      <c r="D161" s="9" t="str">
        <v>1-20</v>
      </c>
      <c r="E161" s="9" t="str">
        <v>13-15/2002</v>
      </c>
      <c r="F161" s="9" t="str">
        <v>חיפה</v>
      </c>
      <c r="G161" s="9" t="str">
        <v>165-167/2002</v>
      </c>
      <c r="H161" s="9" t="str">
        <v>כשר לרישום</v>
      </c>
      <c r="I161" s="9" t="str">
        <v>V</v>
      </c>
      <c r="J161" s="9">
        <v>3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</row>
    <row r="162" spans="1:17" ht="24.95" customHeight="1" x14ac:dyDescent="0.2">
      <c r="A162" s="9">
        <v>980810</v>
      </c>
      <c r="B162" s="9" t="str">
        <v>ראשל"צ הצלחת יחזקאל</v>
      </c>
      <c r="C162" s="9">
        <v>3946</v>
      </c>
      <c r="D162" s="9" t="str">
        <v>120,130...</v>
      </c>
      <c r="E162" s="9" t="str">
        <v>193/99</v>
      </c>
      <c r="F162" s="9" t="str">
        <v>תל אביב</v>
      </c>
      <c r="G162" s="9" t="str">
        <v>486/2000</v>
      </c>
      <c r="H162" s="9" t="str">
        <v>כשר לרישום</v>
      </c>
      <c r="I162" s="9" t="str">
        <v>V</v>
      </c>
      <c r="J162" s="9">
        <v>1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</row>
    <row r="163" spans="1:17" ht="24.95" customHeight="1" x14ac:dyDescent="0.2">
      <c r="A163" s="9">
        <v>980841</v>
      </c>
      <c r="B163" s="9" t="str">
        <v>שורש</v>
      </c>
      <c r="C163" s="9">
        <v>29706</v>
      </c>
      <c r="D163" s="9">
        <v>16</v>
      </c>
      <c r="E163" s="9" t="str">
        <v xml:space="preserve">כשר לרישום </v>
      </c>
      <c r="F163" s="9" t="str">
        <v>ירושלים</v>
      </c>
      <c r="G163" s="9" t="str">
        <v>149/00</v>
      </c>
      <c r="H163" s="9" t="str">
        <v>כשר לרישום</v>
      </c>
      <c r="I163" s="9" t="str">
        <v>V</v>
      </c>
      <c r="J163" s="9">
        <v>1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</row>
    <row r="164" spans="1:17" ht="24.95" customHeight="1" x14ac:dyDescent="0.2">
      <c r="A164" s="9">
        <v>990203</v>
      </c>
      <c r="B164" s="9" t="str">
        <v>גן יבנה 102</v>
      </c>
      <c r="C164" s="9">
        <v>193</v>
      </c>
      <c r="D164" s="9">
        <v>47</v>
      </c>
      <c r="E164" s="9" t="str">
        <v>149-156/2000</v>
      </c>
      <c r="F164" s="9" t="str">
        <v>תל אביב</v>
      </c>
      <c r="G164" s="9" t="str">
        <v>720-727/2000</v>
      </c>
      <c r="H164" s="9" t="str">
        <v>כשר לרישום</v>
      </c>
      <c r="I164" s="9" t="str">
        <v>V</v>
      </c>
      <c r="J164" s="9">
        <v>8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</row>
    <row r="165" spans="1:17" ht="24.95" customHeight="1" x14ac:dyDescent="0.2">
      <c r="A165" s="9">
        <v>990218</v>
      </c>
      <c r="B165" s="9" t="str">
        <v>לוד גני יער A B C</v>
      </c>
      <c r="C165" s="9" t="str">
        <v>4015, 5163</v>
      </c>
      <c r="D165" s="9" t="str">
        <v>4,6,7 [37]</v>
      </c>
      <c r="E165" s="9" t="str">
        <v>149-150/2001</v>
      </c>
      <c r="F165" s="9" t="str">
        <v>תל אביב</v>
      </c>
      <c r="G165" s="9" t="str">
        <v>491-492/2001</v>
      </c>
      <c r="H165" s="9" t="str">
        <v>כשר לרישום</v>
      </c>
      <c r="I165" s="9" t="str">
        <v>V</v>
      </c>
      <c r="J165" s="9">
        <v>2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</row>
    <row r="166" spans="1:17" ht="24.95" customHeight="1" x14ac:dyDescent="0.2">
      <c r="A166" s="9" t="str">
        <v>990256</v>
      </c>
      <c r="B166" s="9" t="str">
        <v>חריש</v>
      </c>
      <c r="C166" s="9" t="str">
        <v>8700,8701,8704,8705,8706</v>
      </c>
      <c r="D166" s="9">
        <v>0</v>
      </c>
      <c r="E166" s="9" t="str">
        <v>נמסר</v>
      </c>
      <c r="F166" s="9" t="str">
        <v>חיפה</v>
      </c>
      <c r="G166" s="9">
        <v>0</v>
      </c>
      <c r="H166" s="9" t="str">
        <v>מחכה להרשאת ביקורת מברזני</v>
      </c>
      <c r="I166" s="9" t="str">
        <v>בוטל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</row>
    <row r="167" spans="1:17" ht="24.95" customHeight="1" x14ac:dyDescent="0.2">
      <c r="A167" s="9">
        <v>990346</v>
      </c>
      <c r="B167" s="9" t="str">
        <v>תחמש רמת אביב</v>
      </c>
      <c r="C167" s="9" t="str">
        <v>6900,6635, 6634</v>
      </c>
      <c r="D167" s="9" t="str">
        <v>23, 3, 31  קלרה</v>
      </c>
      <c r="E167" s="9" t="str">
        <v>323-325/2001</v>
      </c>
      <c r="F167" s="9" t="str">
        <v>תל אביב</v>
      </c>
      <c r="G167" s="9" t="str">
        <v>990-992/2001</v>
      </c>
      <c r="H167" s="9" t="str">
        <v>כשר לרישום</v>
      </c>
      <c r="I167" s="9" t="str">
        <v>V</v>
      </c>
      <c r="J167" s="9">
        <v>3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</row>
    <row r="168" spans="1:17" ht="24.95" customHeight="1" x14ac:dyDescent="0.2">
      <c r="A168" s="9">
        <v>990384</v>
      </c>
      <c r="B168" s="9" t="str">
        <v>מי עמי</v>
      </c>
      <c r="C168" s="9" t="str">
        <v>20456</v>
      </c>
      <c r="D168" s="9" t="str">
        <v>[58],[59],[62]</v>
      </c>
      <c r="E168" s="9">
        <v>0</v>
      </c>
      <c r="F168" s="9" t="str">
        <v>חיפה</v>
      </c>
      <c r="G168" s="9" t="str">
        <v>174-175/2001</v>
      </c>
      <c r="H168" s="9" t="str">
        <v>כשר לרישום</v>
      </c>
      <c r="I168" s="9" t="str">
        <v>V</v>
      </c>
      <c r="J168" s="9">
        <v>2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</row>
    <row r="169" spans="1:17" ht="24.95" customHeight="1" x14ac:dyDescent="0.2">
      <c r="A169" s="9">
        <v>990386</v>
      </c>
      <c r="B169" s="9" t="str">
        <v>אשקלון רחוב העליה</v>
      </c>
      <c r="C169" s="9" t="str">
        <v>1256, 1246</v>
      </c>
      <c r="D169" s="9" t="str">
        <v>[1000]</v>
      </c>
      <c r="E169" s="9" t="str">
        <v>249-251/2000</v>
      </c>
      <c r="F169" s="9" t="str">
        <v>תל אביב</v>
      </c>
      <c r="G169" s="9" t="str">
        <v>1202-1204/2000</v>
      </c>
      <c r="H169" s="9" t="str">
        <v>כשר לרישום</v>
      </c>
      <c r="I169" s="9" t="str">
        <v>V</v>
      </c>
      <c r="J169" s="9">
        <v>3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</row>
    <row r="170" spans="1:17" ht="24.95" customHeight="1" x14ac:dyDescent="0.2">
      <c r="A170" s="9">
        <v>990387</v>
      </c>
      <c r="B170" s="9" t="str">
        <v>חיפה בית המלון</v>
      </c>
      <c r="C170" s="9" t="str">
        <v>10870</v>
      </c>
      <c r="D170" s="9" t="str">
        <v>59</v>
      </c>
      <c r="E170" s="9" t="str">
        <v>9/2002</v>
      </c>
      <c r="F170" s="9" t="str">
        <v>חיפה</v>
      </c>
      <c r="G170" s="9" t="str">
        <v>551/2002</v>
      </c>
      <c r="H170" s="9" t="str">
        <v>כשר לרישום</v>
      </c>
      <c r="I170" s="9" t="str">
        <v>V</v>
      </c>
      <c r="J170" s="9">
        <v>1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</row>
    <row r="171" spans="1:17" ht="24.95" customHeight="1" x14ac:dyDescent="0.2">
      <c r="A171" s="9">
        <v>990402</v>
      </c>
      <c r="B171" s="9" t="str">
        <v>תל אביב מתחם סונול</v>
      </c>
      <c r="C171" s="9">
        <v>6950</v>
      </c>
      <c r="D171" s="9" t="str">
        <v>19,20,21</v>
      </c>
      <c r="E171" s="9" t="str">
        <v>60/2000</v>
      </c>
      <c r="F171" s="9" t="str">
        <v>תל אביב</v>
      </c>
      <c r="G171" s="9" t="str">
        <v>396/00</v>
      </c>
      <c r="H171" s="9" t="str">
        <v>כשר לרישום</v>
      </c>
      <c r="I171" s="9" t="str">
        <v>V</v>
      </c>
      <c r="J171" s="9">
        <v>1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</row>
    <row r="172" spans="1:17" ht="24.95" customHeight="1" x14ac:dyDescent="0.2">
      <c r="A172" s="9">
        <v>990412</v>
      </c>
      <c r="B172" s="9" t="str">
        <v>לוד הצעירה</v>
      </c>
      <c r="C172" s="9" t="str">
        <v>4016, 4011, 4012</v>
      </c>
      <c r="D172" s="9">
        <v>0</v>
      </c>
      <c r="E172" s="9" t="str">
        <v>114-118/2000</v>
      </c>
      <c r="F172" s="9" t="str">
        <v>תל אביב</v>
      </c>
      <c r="G172" s="9">
        <v>0</v>
      </c>
      <c r="H172" s="9" t="str">
        <v>תצר מחדש</v>
      </c>
      <c r="I172" s="9" t="str">
        <v>בוטל</v>
      </c>
      <c r="J172" s="9">
        <v>5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</row>
    <row r="173" spans="1:17" ht="24.95" customHeight="1" x14ac:dyDescent="0.2">
      <c r="A173" s="9">
        <v>990447</v>
      </c>
      <c r="B173" s="9" t="str">
        <v>פרדס גאליה</v>
      </c>
      <c r="C173" s="9">
        <v>37793780</v>
      </c>
      <c r="D173" s="9">
        <v>0</v>
      </c>
      <c r="E173" s="9" t="str">
        <v>205-208/2002</v>
      </c>
      <c r="F173" s="9" t="str">
        <v>תל אביב</v>
      </c>
      <c r="G173" s="9" t="str">
        <v>928-931/2002</v>
      </c>
      <c r="H173" s="9" t="str">
        <v>כשר לרישום</v>
      </c>
      <c r="I173" s="9" t="str">
        <v>V</v>
      </c>
      <c r="J173" s="9">
        <v>4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</row>
    <row r="174" spans="1:17" ht="24.95" customHeight="1" x14ac:dyDescent="0.2">
      <c r="A174" s="9">
        <v>990563</v>
      </c>
      <c r="B174" s="9" t="str">
        <v>תל אביב כפר שלם - מכרז</v>
      </c>
      <c r="C174" s="9">
        <v>0</v>
      </c>
      <c r="D174" s="9">
        <v>0</v>
      </c>
      <c r="E174" s="9" t="str">
        <v>מכרז מפי</v>
      </c>
      <c r="F174" s="9" t="str">
        <v>לינקולן</v>
      </c>
      <c r="G174" s="9">
        <v>0</v>
      </c>
      <c r="H174" s="9" t="str">
        <v>כשר לרישום</v>
      </c>
      <c r="I174" s="9" t="str">
        <v>V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</row>
    <row r="175" spans="1:17" ht="24.95" customHeight="1" x14ac:dyDescent="0.2">
      <c r="A175" s="9">
        <v>990565</v>
      </c>
      <c r="B175" s="9" t="str">
        <v>אשדוד רחוב הנורית</v>
      </c>
      <c r="C175" s="9" t="str">
        <v>2188, 2074</v>
      </c>
      <c r="D175" s="9" t="str">
        <v>74, 136,137</v>
      </c>
      <c r="E175" s="9" t="str">
        <v>122-123/2001</v>
      </c>
      <c r="F175" s="9" t="str">
        <v>תל אביב</v>
      </c>
      <c r="G175" s="9" t="str">
        <v>659-660/2001</v>
      </c>
      <c r="H175" s="9" t="str">
        <v>כשר לרישום</v>
      </c>
      <c r="I175" s="9" t="str">
        <v>V</v>
      </c>
      <c r="J175" s="9">
        <v>2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</row>
    <row r="176" spans="1:17" ht="24.95" customHeight="1" x14ac:dyDescent="0.2">
      <c r="A176" s="9">
        <v>990628</v>
      </c>
      <c r="B176" s="9" t="str">
        <v>צהלה פלקוביץ</v>
      </c>
      <c r="C176" s="9">
        <v>6624</v>
      </c>
      <c r="D176" s="9" t="str">
        <v>[56] – [51]</v>
      </c>
      <c r="E176" s="9" t="str">
        <v>16/2001</v>
      </c>
      <c r="F176" s="9" t="str">
        <v>תל אביב</v>
      </c>
      <c r="G176" s="9" t="str">
        <v>130/2001</v>
      </c>
      <c r="H176" s="9" t="str">
        <v>כשר לרישום</v>
      </c>
      <c r="I176" s="9" t="str">
        <v>V</v>
      </c>
      <c r="J176" s="9">
        <v>1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</row>
    <row r="177" spans="1:17" ht="24.95" customHeight="1" x14ac:dyDescent="0.2">
      <c r="A177" s="9">
        <v>990807</v>
      </c>
      <c r="B177" s="9" t="str">
        <v>שבי ציון</v>
      </c>
      <c r="C177" s="9" t="str">
        <v xml:space="preserve">18115 , 18135, 18136 , </v>
      </c>
      <c r="D177" s="9">
        <v>0</v>
      </c>
      <c r="E177" s="9">
        <v>0</v>
      </c>
      <c r="F177" s="9" t="str">
        <v>חיפה</v>
      </c>
      <c r="G177" s="9" t="str">
        <v>551-557/08</v>
      </c>
      <c r="H177" s="9" t="str">
        <v>נינה</v>
      </c>
      <c r="I177" s="9" t="str">
        <v>V</v>
      </c>
      <c r="J177" s="9">
        <v>7</v>
      </c>
      <c r="K177" s="9" t="str">
        <v>תמרה</v>
      </c>
      <c r="L177" s="9">
        <v>0</v>
      </c>
      <c r="M177" s="9" t="str">
        <v>נינה אונגר</v>
      </c>
      <c r="N177" s="9">
        <v>0</v>
      </c>
      <c r="O177" s="9">
        <v>0</v>
      </c>
      <c r="P177" s="9">
        <v>0</v>
      </c>
      <c r="Q177" s="9">
        <v>0</v>
      </c>
    </row>
    <row r="178" spans="1:17" ht="24.95" customHeight="1" x14ac:dyDescent="0.2">
      <c r="A178" s="9">
        <v>990817</v>
      </c>
      <c r="B178" s="9" t="str">
        <v>תל יצחק</v>
      </c>
      <c r="C178" s="9">
        <v>8971</v>
      </c>
      <c r="D178" s="9">
        <v>0</v>
      </c>
      <c r="E178" s="9" t="str">
        <v>276-277/2000</v>
      </c>
      <c r="F178" s="9" t="str">
        <v>תל אביב</v>
      </c>
      <c r="G178" s="9" t="str">
        <v>383-384/2001</v>
      </c>
      <c r="H178" s="9" t="str">
        <v>כשר לרישום</v>
      </c>
      <c r="I178" s="9" t="str">
        <v>V</v>
      </c>
      <c r="J178" s="9">
        <v>2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</row>
    <row r="179" spans="1:17" ht="24.95" customHeight="1" x14ac:dyDescent="0.2">
      <c r="A179" s="9">
        <v>990852</v>
      </c>
      <c r="B179" s="9" t="str">
        <v>תל אביב צהלה 2627</v>
      </c>
      <c r="C179" s="9">
        <v>6624</v>
      </c>
      <c r="D179" s="9" t="str">
        <v>274,</v>
      </c>
      <c r="E179" s="9" t="str">
        <v>95-96/2002</v>
      </c>
      <c r="F179" s="9" t="str">
        <v>תל אביב</v>
      </c>
      <c r="G179" s="9" t="str">
        <v>410-412/2003</v>
      </c>
      <c r="H179" s="9" t="str">
        <v>כשר לרישום</v>
      </c>
      <c r="I179" s="9" t="str">
        <v>V</v>
      </c>
      <c r="J179" s="9">
        <v>3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</row>
    <row r="180" spans="1:17" ht="24.95" customHeight="1" x14ac:dyDescent="0.2">
      <c r="A180" s="9">
        <v>30263</v>
      </c>
      <c r="B180" s="9" t="str">
        <v>ראש הנקרה שיוך דירות</v>
      </c>
      <c r="C180" s="9" t="str">
        <v>שונים</v>
      </c>
      <c r="D180" s="9">
        <v>0</v>
      </c>
      <c r="E180" s="9">
        <v>0</v>
      </c>
      <c r="F180" s="9" t="str">
        <v>חיפה</v>
      </c>
      <c r="G180" s="9" t="str">
        <v>500-506/2010</v>
      </c>
      <c r="H180" s="9" t="str">
        <v>כשר לרישום</v>
      </c>
      <c r="I180" s="9" t="str">
        <v>V</v>
      </c>
      <c r="J180" s="9">
        <v>7</v>
      </c>
      <c r="K180" s="9" t="str">
        <v>קטי</v>
      </c>
      <c r="L180" s="9">
        <v>0</v>
      </c>
      <c r="M180" s="9" t="str">
        <v>נינה אונגר</v>
      </c>
      <c r="N180" s="9" t="str">
        <v>משה הודיע כשר לרישום</v>
      </c>
      <c r="O180" s="9">
        <v>0</v>
      </c>
      <c r="P180" s="9">
        <v>0</v>
      </c>
      <c r="Q180" s="9">
        <v>0</v>
      </c>
    </row>
    <row r="181" spans="1:17" ht="24.95" customHeight="1" x14ac:dyDescent="0.2">
      <c r="A181" s="9">
        <v>70305</v>
      </c>
      <c r="B181" s="9" t="str">
        <v>מודיעין בוכמן</v>
      </c>
      <c r="C181" s="9" t="str">
        <v>5813</v>
      </c>
      <c r="D181" s="9" t="str">
        <v>9</v>
      </c>
      <c r="E181" s="9">
        <v>0</v>
      </c>
      <c r="F181" s="9" t="str">
        <v>תל אביב</v>
      </c>
      <c r="G181" s="9" t="str">
        <v>1249/2010</v>
      </c>
      <c r="H181" s="9" t="str">
        <v>כשר לרישום</v>
      </c>
      <c r="I181" s="9" t="str">
        <v>V</v>
      </c>
      <c r="J181" s="9">
        <v>1</v>
      </c>
      <c r="K181" s="9" t="str">
        <v>תמרה</v>
      </c>
      <c r="L181" s="9">
        <v>0</v>
      </c>
      <c r="M181" s="9">
        <v>0</v>
      </c>
      <c r="N181" s="9" t="str">
        <v>שלחנו נייר לבן</v>
      </c>
      <c r="O181" s="9">
        <v>0</v>
      </c>
      <c r="P181" s="9">
        <v>0</v>
      </c>
      <c r="Q181" s="9">
        <v>0</v>
      </c>
    </row>
    <row r="182" spans="1:17" ht="24.95" customHeight="1" x14ac:dyDescent="0.2">
      <c r="A182" s="9">
        <v>90005</v>
      </c>
      <c r="B182" s="9" t="str">
        <v>פסגת זאב השלמת מגרש</v>
      </c>
      <c r="C182" s="9" t="str">
        <v xml:space="preserve">30587 , 31304 </v>
      </c>
      <c r="D182" s="9">
        <v>0</v>
      </c>
      <c r="E182" s="9">
        <v>0</v>
      </c>
      <c r="F182" s="9" t="str">
        <v>ירושלים</v>
      </c>
      <c r="G182" s="9" t="str">
        <v>223-224/2011</v>
      </c>
      <c r="H182" s="9" t="str">
        <v>כשר לרישום</v>
      </c>
      <c r="I182" s="9" t="str">
        <v>V</v>
      </c>
      <c r="J182" s="9">
        <v>2</v>
      </c>
      <c r="K182" s="9" t="str">
        <v>נטלי</v>
      </c>
      <c r="L182" s="9">
        <v>0</v>
      </c>
      <c r="M182" s="9">
        <v>0</v>
      </c>
      <c r="N182" s="9" t="str">
        <v>שלחנו נייר לבן פסגת זאב הקטן</v>
      </c>
      <c r="O182" s="9">
        <v>0</v>
      </c>
      <c r="P182" s="9">
        <v>0</v>
      </c>
      <c r="Q182" s="9">
        <v>0</v>
      </c>
    </row>
    <row r="183" spans="1:17" ht="24.95" customHeight="1" x14ac:dyDescent="0.2">
      <c r="A183" s="9">
        <v>70305</v>
      </c>
      <c r="B183" s="9" t="str">
        <v xml:space="preserve">מודיען קייזר </v>
      </c>
      <c r="C183" s="9" t="str">
        <v>5871</v>
      </c>
      <c r="D183" s="9" t="str">
        <v>34</v>
      </c>
      <c r="E183" s="9">
        <v>0</v>
      </c>
      <c r="F183" s="9" t="str">
        <v>תל אביב</v>
      </c>
      <c r="G183" s="9" t="str">
        <v>1250/2010</v>
      </c>
      <c r="H183" s="9" t="str">
        <v>כשר לרישום</v>
      </c>
      <c r="I183" s="9" t="str">
        <v>V</v>
      </c>
      <c r="J183" s="9">
        <v>1</v>
      </c>
      <c r="K183" s="9" t="str">
        <v>תמרה</v>
      </c>
      <c r="L183" s="9">
        <v>0</v>
      </c>
      <c r="M183" s="9">
        <v>0</v>
      </c>
      <c r="N183" s="9" t="str">
        <v>שלחנו נייר לבן</v>
      </c>
      <c r="O183" s="9">
        <v>0</v>
      </c>
      <c r="P183" s="9">
        <v>0</v>
      </c>
      <c r="Q183" s="9">
        <v>0</v>
      </c>
    </row>
    <row r="184" spans="1:17" ht="24.95" customHeight="1" x14ac:dyDescent="0.2">
      <c r="A184" s="9">
        <v>80720</v>
      </c>
      <c r="B184" s="9" t="str">
        <v>תל אביב בית אל אפיריון</v>
      </c>
      <c r="C184" s="9" t="str">
        <v>7321</v>
      </c>
      <c r="D184" s="9" t="str">
        <v>79,80,82,83,84,85</v>
      </c>
      <c r="E184" s="9" t="str">
        <v>0449-11-03-01</v>
      </c>
      <c r="F184" s="9" t="str">
        <v>תל אביב</v>
      </c>
      <c r="G184" s="9" t="str">
        <v>592-594/11</v>
      </c>
      <c r="H184" s="9" t="str">
        <v>כשר לרישום</v>
      </c>
      <c r="I184" s="9" t="str">
        <v>V</v>
      </c>
      <c r="J184" s="9">
        <v>3</v>
      </c>
      <c r="K184" s="9" t="str">
        <v>תמרה</v>
      </c>
      <c r="L184" s="9">
        <v>0</v>
      </c>
      <c r="M184" s="9">
        <v>0</v>
      </c>
      <c r="N184" s="9" t="str">
        <v>שלחנו נייר לבן</v>
      </c>
      <c r="O184" s="9">
        <v>0</v>
      </c>
      <c r="P184" s="9">
        <v>0</v>
      </c>
      <c r="Q184" s="9">
        <v>0</v>
      </c>
    </row>
    <row r="185" spans="1:17" ht="24.95" customHeight="1" x14ac:dyDescent="0.2">
      <c r="A185" s="9">
        <v>100360</v>
      </c>
      <c r="B185" s="9" t="str">
        <v>גני תקוה דוניץ</v>
      </c>
      <c r="C185" s="9" t="str">
        <v>6717</v>
      </c>
      <c r="D185" s="9" t="str">
        <v>12,15,18,21,61,89,90,93</v>
      </c>
      <c r="E185" s="9" t="str">
        <v>0621-11-03-01</v>
      </c>
      <c r="F185" s="9" t="str">
        <v>תל אביב</v>
      </c>
      <c r="G185" s="9" t="str">
        <v>808-2011 </v>
      </c>
      <c r="H185" s="9" t="str">
        <v>כשר לרישום</v>
      </c>
      <c r="I185" s="9" t="str">
        <v>V</v>
      </c>
      <c r="J185" s="9">
        <v>1</v>
      </c>
      <c r="K185" s="9" t="str">
        <v>תמרה</v>
      </c>
      <c r="L185" s="9">
        <v>0</v>
      </c>
      <c r="M185" s="9" t="str">
        <v>יוסף יוסף</v>
      </c>
      <c r="N185" s="9" t="str">
        <v>שלחנו מיילרים</v>
      </c>
      <c r="O185" s="9">
        <v>0</v>
      </c>
      <c r="P185" s="9">
        <v>0</v>
      </c>
      <c r="Q185" s="9">
        <v>0</v>
      </c>
    </row>
    <row r="186" spans="1:17" ht="24.95" customHeight="1" x14ac:dyDescent="0.2">
      <c r="A186" s="9">
        <v>40074</v>
      </c>
      <c r="B186" s="9" t="str">
        <v>כוכב יאיר צור יגאל</v>
      </c>
      <c r="C186" s="9" t="str">
        <v>7372,8913,8914.</v>
      </c>
      <c r="D186" s="9">
        <v>0</v>
      </c>
      <c r="E186" s="9" t="str">
        <v>0707-11-03-01</v>
      </c>
      <c r="F186" s="9" t="str">
        <v>תל אביב</v>
      </c>
      <c r="G186" s="9" t="str">
        <v>915-919/2011</v>
      </c>
      <c r="H186" s="9" t="str">
        <v>כשר לרישום</v>
      </c>
      <c r="I186" s="9" t="str">
        <v>V</v>
      </c>
      <c r="J186" s="9">
        <v>5</v>
      </c>
      <c r="K186" s="9" t="str">
        <v>קטי</v>
      </c>
      <c r="L186" s="9">
        <v>0</v>
      </c>
      <c r="M186" s="9" t="str">
        <v>אירנה איטקיס</v>
      </c>
      <c r="N186" s="9" t="str">
        <v>שלחנו מיילרים</v>
      </c>
      <c r="O186" s="9">
        <v>0</v>
      </c>
      <c r="P186" s="9">
        <v>0</v>
      </c>
      <c r="Q186" s="9">
        <v>0</v>
      </c>
    </row>
    <row r="187" spans="1:17" ht="24.95" customHeight="1" x14ac:dyDescent="0.2">
      <c r="A187" s="9">
        <v>70305</v>
      </c>
      <c r="B187" s="9" t="str">
        <v>מודיעין  5871/32</v>
      </c>
      <c r="C187" s="9" t="str">
        <v>5871</v>
      </c>
      <c r="D187" s="9" t="str">
        <v>32</v>
      </c>
      <c r="E187" s="9" t="str">
        <v>0894-11-03-01</v>
      </c>
      <c r="F187" s="9" t="str">
        <v>תל אביב</v>
      </c>
      <c r="G187" s="9" t="str">
        <v>1187/2011</v>
      </c>
      <c r="H187" s="9" t="str">
        <v>כשר לרישום</v>
      </c>
      <c r="I187" s="9" t="str">
        <v>V</v>
      </c>
      <c r="J187" s="9">
        <v>1</v>
      </c>
      <c r="K187" s="9" t="str">
        <v>תמרה</v>
      </c>
      <c r="L187" s="9">
        <v>0</v>
      </c>
      <c r="M187" s="9" t="str">
        <v>ויקה</v>
      </c>
      <c r="N187" s="9" t="str">
        <v>שלחנו מיילר</v>
      </c>
      <c r="O187" s="9">
        <v>0</v>
      </c>
      <c r="P187" s="9">
        <v>0</v>
      </c>
      <c r="Q187" s="9">
        <v>0</v>
      </c>
    </row>
    <row r="188" spans="1:17" ht="24.95" customHeight="1" x14ac:dyDescent="0.2">
      <c r="A188" s="9">
        <v>100263</v>
      </c>
      <c r="B188" s="9" t="str">
        <v>בני ראם תצר ממי</v>
      </c>
      <c r="C188" s="9" t="str">
        <v>5463</v>
      </c>
      <c r="D188" s="9" t="str">
        <v>24</v>
      </c>
      <c r="E188" s="9" t="str">
        <v>0963-11-03-01</v>
      </c>
      <c r="F188" s="9" t="str">
        <v>תל אביב</v>
      </c>
      <c r="G188" s="9" t="str">
        <v>1289/2011</v>
      </c>
      <c r="H188" s="9" t="str">
        <v>כשר לרישום</v>
      </c>
      <c r="I188" s="9" t="str">
        <v>V</v>
      </c>
      <c r="J188" s="9">
        <v>1</v>
      </c>
      <c r="K188" s="9" t="str">
        <v>נטלי</v>
      </c>
      <c r="L188" s="9">
        <v>0</v>
      </c>
      <c r="M188" s="9" t="str">
        <v>ויקה</v>
      </c>
      <c r="N188" s="9" t="str">
        <v>שלחנו מיילר</v>
      </c>
      <c r="O188" s="9">
        <v>0</v>
      </c>
      <c r="P188" s="9">
        <v>0</v>
      </c>
      <c r="Q188" s="9">
        <v>0</v>
      </c>
    </row>
    <row r="189" spans="1:17" ht="24.95" customHeight="1" x14ac:dyDescent="0.2">
      <c r="A189" s="9">
        <v>100167</v>
      </c>
      <c r="B189" s="9" t="str">
        <v>כפר סבא קרדן ג' 7607 ח' 45,46,77, ע"ס 090529</v>
      </c>
      <c r="C189" s="9" t="str">
        <v>7607</v>
      </c>
      <c r="D189" s="9" t="str">
        <v>45,46,77</v>
      </c>
      <c r="E189" s="9" t="str">
        <v>0907-11-03-01</v>
      </c>
      <c r="F189" s="9" t="str">
        <v>תל אביב</v>
      </c>
      <c r="G189" s="9" t="str">
        <v>1201/2011</v>
      </c>
      <c r="H189" s="9" t="str">
        <v>כשר לרישום</v>
      </c>
      <c r="I189" s="9" t="str">
        <v>V</v>
      </c>
      <c r="J189" s="9">
        <v>1</v>
      </c>
      <c r="K189" s="9" t="str">
        <v>נטלי</v>
      </c>
      <c r="L189" s="9">
        <v>0</v>
      </c>
      <c r="M189" s="9" t="str">
        <v>נועה</v>
      </c>
      <c r="N189" s="9" t="str">
        <v>שלחנו מיילר</v>
      </c>
      <c r="O189" s="9">
        <v>0</v>
      </c>
      <c r="P189" s="9">
        <v>0</v>
      </c>
      <c r="Q189" s="9">
        <v>0</v>
      </c>
    </row>
    <row r="190" spans="1:17" ht="24.95" customHeight="1" x14ac:dyDescent="0.2">
      <c r="A190" s="9">
        <v>100475</v>
      </c>
      <c r="B190" s="9" t="str">
        <v>רמת השרון רש\214ב</v>
      </c>
      <c r="C190" s="9" t="str">
        <v>6341,6551</v>
      </c>
      <c r="D190" s="9">
        <v>0</v>
      </c>
      <c r="E190" s="9" t="str">
        <v>0019-12-03-01</v>
      </c>
      <c r="F190" s="9" t="str">
        <v>תל אביב</v>
      </c>
      <c r="G190" s="9" t="str">
        <v>33-41/2012</v>
      </c>
      <c r="H190" s="9" t="str">
        <v>כשר לרישום</v>
      </c>
      <c r="I190" s="9" t="str">
        <v>V</v>
      </c>
      <c r="J190" s="9">
        <v>9</v>
      </c>
      <c r="K190" s="9" t="str">
        <v>תמרה</v>
      </c>
      <c r="L190" s="9">
        <v>0</v>
      </c>
      <c r="M190" s="9">
        <v>0</v>
      </c>
      <c r="N190" s="9" t="str">
        <v>שלחנו מיילרים</v>
      </c>
      <c r="O190" s="9">
        <v>0</v>
      </c>
      <c r="P190" s="9">
        <v>0</v>
      </c>
      <c r="Q190" s="9">
        <v>0</v>
      </c>
    </row>
    <row r="191" spans="1:17" ht="24.95" customHeight="1" x14ac:dyDescent="0.2">
      <c r="A191" s="9">
        <v>90548</v>
      </c>
      <c r="B191" s="9" t="str">
        <v>צור יצחק ע"פ תבע מק/8/15/101</v>
      </c>
      <c r="C191" s="9">
        <v>8901</v>
      </c>
      <c r="D191" s="9" t="str">
        <v xml:space="preserve"> 47-56,73</v>
      </c>
      <c r="E191" s="9" t="str">
        <v>0120-12-03-01</v>
      </c>
      <c r="F191" s="9" t="str">
        <v>תל אביב</v>
      </c>
      <c r="G191" s="9" t="str">
        <v>170/2012</v>
      </c>
      <c r="H191" s="9" t="str">
        <v>כשר לרישום</v>
      </c>
      <c r="I191" s="9" t="str">
        <v>V</v>
      </c>
      <c r="J191" s="9">
        <v>1</v>
      </c>
      <c r="K191" s="9" t="str">
        <v>נטלי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</row>
    <row r="192" spans="1:17" ht="24.95" customHeight="1" x14ac:dyDescent="0.2">
      <c r="A192" s="9">
        <v>90548</v>
      </c>
      <c r="B192" s="9" t="str">
        <v>צור יצחק ע"פ תבע מק/11/15/101</v>
      </c>
      <c r="C192" s="9">
        <v>8901</v>
      </c>
      <c r="D192" s="9" t="str">
        <v>שונות</v>
      </c>
      <c r="E192" s="9" t="str">
        <v>0772-12-03-01</v>
      </c>
      <c r="F192" s="9" t="str">
        <v>תל אביב</v>
      </c>
      <c r="G192" s="9" t="str">
        <v>1165-1168/2012</v>
      </c>
      <c r="H192" s="9" t="str">
        <v>כשר לרישום</v>
      </c>
      <c r="I192" s="9" t="str">
        <v>V</v>
      </c>
      <c r="J192" s="9">
        <v>4</v>
      </c>
      <c r="K192" s="9" t="str">
        <v>נטלי</v>
      </c>
      <c r="L192" s="9">
        <v>0</v>
      </c>
      <c r="M192" s="9" t="str">
        <v>במגרה</v>
      </c>
      <c r="N192" s="9" t="str">
        <v>שלחנו לבן- ערים ישלחו צק .לריסה ביקשה 
ושלחנו מיילרים.  שלחו לפע"מ .במגרה של איתמר . יש הערות מפ"מ לגשת לזינה פייקין</v>
      </c>
      <c r="O192" s="9">
        <v>0</v>
      </c>
      <c r="P192" s="9">
        <v>0</v>
      </c>
      <c r="Q192" s="9">
        <v>0</v>
      </c>
    </row>
    <row r="193" spans="1:17" ht="24.95" customHeight="1" x14ac:dyDescent="0.2">
      <c r="A193" s="9">
        <v>80668</v>
      </c>
      <c r="B193" s="9" t="str">
        <v xml:space="preserve">גן יבנה 102 דרום </v>
      </c>
      <c r="C193" s="9">
        <v>2769</v>
      </c>
      <c r="D193" s="9" t="str">
        <v>1</v>
      </c>
      <c r="E193" s="9" t="str">
        <v>283-12-03-01</v>
      </c>
      <c r="F193" s="9" t="str">
        <v>תל אביב</v>
      </c>
      <c r="G193" s="9" t="str">
        <v>444-2012</v>
      </c>
      <c r="H193" s="9" t="str">
        <v>כשר לרישום</v>
      </c>
      <c r="I193" s="9" t="str">
        <v>V</v>
      </c>
      <c r="J193" s="9">
        <v>1</v>
      </c>
      <c r="K193" s="9" t="str">
        <v>תמרה</v>
      </c>
      <c r="L193" s="9">
        <v>0</v>
      </c>
      <c r="M193" s="9">
        <v>0</v>
      </c>
      <c r="N193" s="9" t="str">
        <v>שלחנו לבן + הרשאה. ביקשו מיילר</v>
      </c>
      <c r="O193" s="9">
        <v>0</v>
      </c>
      <c r="P193" s="9">
        <v>0</v>
      </c>
      <c r="Q193" s="9">
        <v>0</v>
      </c>
    </row>
    <row r="194" spans="1:17" ht="24.95" customHeight="1" x14ac:dyDescent="0.2">
      <c r="A194" s="9">
        <v>30442</v>
      </c>
      <c r="B194" s="9" t="str">
        <v>אשדוד עד הלום גוש 2636 ח 1-3</v>
      </c>
      <c r="C194" s="9" t="str">
        <v>2636</v>
      </c>
      <c r="D194" s="9" t="str">
        <v>1,2,3</v>
      </c>
      <c r="E194" s="9" t="str">
        <v>395-12-03-01</v>
      </c>
      <c r="F194" s="9" t="str">
        <v>תל אביב</v>
      </c>
      <c r="G194" s="9" t="str">
        <v>597/2012</v>
      </c>
      <c r="H194" s="9" t="str">
        <v>כשר לרישום</v>
      </c>
      <c r="I194" s="9" t="str">
        <v>V</v>
      </c>
      <c r="J194" s="9">
        <v>1</v>
      </c>
      <c r="K194" s="9" t="str">
        <v>נטלי</v>
      </c>
      <c r="L194" s="9">
        <v>0</v>
      </c>
      <c r="M194" s="9">
        <v>0</v>
      </c>
      <c r="N194" s="9" t="str">
        <v>שלחנו מיילרים</v>
      </c>
      <c r="O194" s="9">
        <v>0</v>
      </c>
      <c r="P194" s="9">
        <v>0</v>
      </c>
      <c r="Q194" s="9">
        <v>0</v>
      </c>
    </row>
    <row r="195" spans="1:17" ht="24.95" customHeight="1" x14ac:dyDescent="0.2">
      <c r="A195" s="9">
        <v>110585</v>
      </c>
      <c r="B195" s="9" t="str">
        <v>אור יהודה מאא1100 ע"ס 000697</v>
      </c>
      <c r="C195" s="9" t="str">
        <v>7408</v>
      </c>
      <c r="D195" s="9" t="str">
        <v>76</v>
      </c>
      <c r="E195" s="9" t="str">
        <v>0424-12-03-01</v>
      </c>
      <c r="F195" s="9" t="str">
        <v>תל אביב</v>
      </c>
      <c r="G195" s="9" t="str">
        <v>665/2012</v>
      </c>
      <c r="H195" s="9" t="str">
        <v>כשר לרישום</v>
      </c>
      <c r="I195" s="9" t="str">
        <v>V</v>
      </c>
      <c r="J195" s="9">
        <v>1</v>
      </c>
      <c r="K195" s="9" t="str">
        <v>נטלי</v>
      </c>
      <c r="L195" s="9">
        <v>0</v>
      </c>
      <c r="M195" s="9">
        <v>0</v>
      </c>
      <c r="N195" s="9" t="str">
        <v>שלחנו מיילר</v>
      </c>
      <c r="O195" s="9">
        <v>0</v>
      </c>
      <c r="P195" s="9">
        <v>0</v>
      </c>
      <c r="Q195" s="9">
        <v>0</v>
      </c>
    </row>
    <row r="196" spans="1:17" ht="24.95" customHeight="1" x14ac:dyDescent="0.2">
      <c r="A196" s="9">
        <v>100600</v>
      </c>
      <c r="B196" s="9" t="str">
        <v>גני תקווה אפריקה ישראל ממ-1-5157</v>
      </c>
      <c r="C196" s="9">
        <v>6717</v>
      </c>
      <c r="D196" s="9" t="str">
        <v>13,14,16,17,20,63,64,80-88,93 </v>
      </c>
      <c r="E196" s="9" t="str">
        <v xml:space="preserve">423-12-03-01 </v>
      </c>
      <c r="F196" s="9" t="str">
        <v>תל אביב</v>
      </c>
      <c r="G196" s="9" t="str">
        <v>664-2012 </v>
      </c>
      <c r="H196" s="9" t="str">
        <v>כשר לרישום</v>
      </c>
      <c r="I196" s="9" t="str">
        <v>V</v>
      </c>
      <c r="J196" s="9">
        <v>1</v>
      </c>
      <c r="K196" s="9" t="str">
        <v>תמרה</v>
      </c>
      <c r="L196" s="9">
        <v>0</v>
      </c>
      <c r="M196" s="9" t="str">
        <v>אירנה איטקיס</v>
      </c>
      <c r="N196" s="9" t="str">
        <v>הוגשה גירסה חדשה אירנה תשלח פקס</v>
      </c>
      <c r="O196" s="9">
        <v>0</v>
      </c>
      <c r="P196" s="9">
        <v>0</v>
      </c>
      <c r="Q196" s="9">
        <v>0</v>
      </c>
    </row>
    <row r="197" spans="1:17" ht="24.95" customHeight="1" x14ac:dyDescent="0.2">
      <c r="A197" s="9">
        <v>80140</v>
      </c>
      <c r="B197" s="9" t="str">
        <v>יד בנימין מיכלי תלטון</v>
      </c>
      <c r="C197" s="9">
        <v>5984</v>
      </c>
      <c r="D197" s="9" t="str">
        <v>12 , 13</v>
      </c>
      <c r="E197" s="9" t="str">
        <v>0635-12-03-01</v>
      </c>
      <c r="F197" s="9" t="str">
        <v>תל אביב</v>
      </c>
      <c r="G197" s="9" t="str">
        <v>0981-2012 </v>
      </c>
      <c r="H197" s="9" t="str">
        <v>כשר לרישום</v>
      </c>
      <c r="I197" s="9" t="str">
        <v>V</v>
      </c>
      <c r="J197" s="9">
        <v>1</v>
      </c>
      <c r="K197" s="9" t="str">
        <v>נטלי</v>
      </c>
      <c r="L197" s="9">
        <v>0</v>
      </c>
      <c r="M197" s="9">
        <v>0</v>
      </c>
      <c r="N197" s="9" t="str">
        <v>שלחנו לבן ומסמכים</v>
      </c>
      <c r="O197" s="9">
        <v>0</v>
      </c>
      <c r="P197" s="9">
        <v>0</v>
      </c>
      <c r="Q197" s="9">
        <v>0</v>
      </c>
    </row>
    <row r="198" spans="1:17" ht="24.95" customHeight="1" x14ac:dyDescent="0.2">
      <c r="A198" s="9">
        <v>100143</v>
      </c>
      <c r="B198" s="9" t="str">
        <v>בית חילקיה תצר ע"פ  תבע בר/5/138</v>
      </c>
      <c r="C198" s="9" t="str">
        <v>4726</v>
      </c>
      <c r="D198" s="9" t="str">
        <v>26 , 27</v>
      </c>
      <c r="E198" s="9" t="str">
        <v>502-12-03-01</v>
      </c>
      <c r="F198" s="9" t="str">
        <v>תל אביב</v>
      </c>
      <c r="G198" s="9" t="str">
        <v>755/2012</v>
      </c>
      <c r="H198" s="9" t="str">
        <v>כשר לרישום</v>
      </c>
      <c r="I198" s="9" t="str">
        <v>V</v>
      </c>
      <c r="J198" s="9">
        <v>1</v>
      </c>
      <c r="K198" s="9" t="str">
        <v>נטלי</v>
      </c>
      <c r="L198" s="9">
        <v>0</v>
      </c>
      <c r="M198" s="9" t="str">
        <v>אירנה איטקיס</v>
      </c>
      <c r="N198" s="9" t="str">
        <v>שלחנו לבן ומסמכים</v>
      </c>
      <c r="O198" s="9">
        <v>0</v>
      </c>
      <c r="P198" s="9">
        <v>0</v>
      </c>
      <c r="Q198" s="9">
        <v>0</v>
      </c>
    </row>
    <row r="199" spans="1:17" ht="24.95" customHeight="1" x14ac:dyDescent="0.2">
      <c r="A199" s="9">
        <v>110074</v>
      </c>
      <c r="B199" s="9" t="str">
        <v>גאולי תימן הרחבה</v>
      </c>
      <c r="C199" s="9" t="str">
        <v>8395</v>
      </c>
      <c r="D199" s="9" t="str">
        <v>77,94-98 </v>
      </c>
      <c r="E199" s="9" t="str">
        <v>0696-12-03-01</v>
      </c>
      <c r="F199" s="9" t="str">
        <v>תל אביב</v>
      </c>
      <c r="G199" s="9" t="str">
        <v>1054-1055/2012 </v>
      </c>
      <c r="H199" s="9" t="str">
        <v>כשר לרישום</v>
      </c>
      <c r="I199" s="9" t="str">
        <v>V</v>
      </c>
      <c r="J199" s="9">
        <v>2</v>
      </c>
      <c r="K199" s="9" t="str">
        <v>נטלי+יוליה</v>
      </c>
      <c r="L199" s="9">
        <v>0</v>
      </c>
      <c r="M199" s="9" t="str">
        <v>אירנה איטקיס</v>
      </c>
      <c r="N199" s="9" t="str">
        <v>לריסה ביקשה הבהרות . ישבתי בתאריך 17.1.2013  עם לריסה ויפתח תיק . אירנה ביקשה עוד תיקונים ומיילר</v>
      </c>
      <c r="O199" s="9">
        <v>0</v>
      </c>
      <c r="P199" s="9">
        <v>0</v>
      </c>
      <c r="Q199" s="9">
        <v>0</v>
      </c>
    </row>
    <row r="200" spans="1:17" ht="24.95" customHeight="1" x14ac:dyDescent="0.2">
      <c r="A200" s="9">
        <v>110825</v>
      </c>
      <c r="B200" s="9" t="str">
        <v>תלמי יפה גוש 3161 ח 34 , 36</v>
      </c>
      <c r="C200" s="9" t="str">
        <v>3161</v>
      </c>
      <c r="D200" s="9" t="str">
        <v>34 , 36</v>
      </c>
      <c r="E200" s="9" t="str">
        <v>0779-12-03-01</v>
      </c>
      <c r="F200" s="9" t="str">
        <v>תל אביב</v>
      </c>
      <c r="G200" s="9" t="str">
        <v>1183/2012</v>
      </c>
      <c r="H200" s="9" t="str">
        <v>כשר לרישום</v>
      </c>
      <c r="I200" s="9" t="str">
        <v>V</v>
      </c>
      <c r="J200" s="9">
        <v>1</v>
      </c>
      <c r="K200" s="9" t="str">
        <v>קטי</v>
      </c>
      <c r="L200" s="9">
        <v>0</v>
      </c>
      <c r="M200" s="9">
        <v>0</v>
      </c>
      <c r="N200" s="9" t="str">
        <v>שלחנו תיק ומסמכים. אסנת תיפתח בקרוב.שלחנו מיילר</v>
      </c>
      <c r="O200" s="9">
        <v>0</v>
      </c>
      <c r="P200" s="9">
        <v>0</v>
      </c>
      <c r="Q200" s="9">
        <v>0</v>
      </c>
    </row>
    <row r="201" spans="1:17" ht="24.95" customHeight="1" x14ac:dyDescent="0.2">
      <c r="A201" s="9">
        <v>70609</v>
      </c>
      <c r="B201" s="9" t="str">
        <v>באר טוביה אחים גיבשטיין</v>
      </c>
      <c r="C201" s="9" t="str">
        <v>2737 , 2424 , 312</v>
      </c>
      <c r="D201" s="9" t="str">
        <v>שונות</v>
      </c>
      <c r="E201" s="9" t="str">
        <v>0740-12-03-01</v>
      </c>
      <c r="F201" s="9" t="str">
        <v>תל אביב</v>
      </c>
      <c r="G201" s="9" t="str">
        <v>1111-1113/2012</v>
      </c>
      <c r="H201" s="9" t="str">
        <v>כשר לרישום</v>
      </c>
      <c r="I201" s="9" t="str">
        <v>V</v>
      </c>
      <c r="J201" s="9">
        <v>3</v>
      </c>
      <c r="K201" s="9" t="str">
        <v>תמרה</v>
      </c>
      <c r="L201" s="9">
        <v>0</v>
      </c>
      <c r="M201" s="9">
        <v>0</v>
      </c>
      <c r="N201" s="9" t="str">
        <v>שלחנו כל מה שלריסה ביקשה . שלחנו מיילרים</v>
      </c>
      <c r="O201" s="9">
        <v>0</v>
      </c>
      <c r="P201" s="9">
        <v>0</v>
      </c>
      <c r="Q201" s="9">
        <v>0</v>
      </c>
    </row>
    <row r="202" spans="1:17" ht="24.95" customHeight="1" x14ac:dyDescent="0.2">
      <c r="A202" s="9">
        <v>70322</v>
      </c>
      <c r="B202" s="9" t="str">
        <v xml:space="preserve"> תל אביב צהלה, תצ"ר - גוש 6624 ח' 868,870</v>
      </c>
      <c r="C202" s="9" t="str">
        <v>6624</v>
      </c>
      <c r="D202" s="9" t="str">
        <v>868  870</v>
      </c>
      <c r="E202" s="9" t="str">
        <v>0839-12-03-01</v>
      </c>
      <c r="F202" s="9" t="str">
        <v>תל אביב</v>
      </c>
      <c r="G202" s="9" t="str">
        <v>1263/2012</v>
      </c>
      <c r="H202" s="9" t="str">
        <v>כשר לרישום</v>
      </c>
      <c r="I202" s="9" t="str">
        <v>V</v>
      </c>
      <c r="J202" s="9">
        <v>1</v>
      </c>
      <c r="K202" s="9" t="str">
        <v>תמרה</v>
      </c>
      <c r="L202" s="9">
        <v>0</v>
      </c>
      <c r="M202" s="9" t="str">
        <v>נועה</v>
      </c>
      <c r="N202" s="9" t="str">
        <v>שלחנו תיק ומסמכים + מיילר</v>
      </c>
      <c r="O202" s="9">
        <v>0</v>
      </c>
      <c r="P202" s="9">
        <v>0</v>
      </c>
      <c r="Q202" s="9">
        <v>0</v>
      </c>
    </row>
    <row r="203" spans="1:17" ht="24.95" customHeight="1" x14ac:dyDescent="0.2">
      <c r="A203" s="9">
        <v>100203</v>
      </c>
      <c r="B203" s="9" t="str">
        <v>עזריה   גז/19/1</v>
      </c>
      <c r="C203" s="9" t="str">
        <v>4386</v>
      </c>
      <c r="D203" s="9" t="str">
        <v>32</v>
      </c>
      <c r="E203" s="9" t="str">
        <v>0974-12-03-01</v>
      </c>
      <c r="F203" s="9" t="str">
        <v>תל אביב</v>
      </c>
      <c r="G203" s="9" t="str">
        <v>1499/2012</v>
      </c>
      <c r="H203" s="9" t="str">
        <v>כשר לרישום</v>
      </c>
      <c r="I203" s="9" t="str">
        <v>V</v>
      </c>
      <c r="J203" s="9">
        <v>1</v>
      </c>
      <c r="K203" s="9" t="str">
        <v>נטלי</v>
      </c>
      <c r="L203" s="9">
        <v>0</v>
      </c>
      <c r="M203" s="9" t="str">
        <v>אירנה איטקיס</v>
      </c>
      <c r="N203" s="9" t="str">
        <v>שלחנו קבצים ותיק חישובים , ותוספת קבצים . ישבתי בתאריך 17.1.2013  עם לריסה ויפתח תיק .שלחנו מיילר</v>
      </c>
      <c r="O203" s="9">
        <v>0</v>
      </c>
      <c r="P203" s="9">
        <v>0</v>
      </c>
      <c r="Q203" s="9">
        <v>0</v>
      </c>
    </row>
    <row r="204" spans="1:17" ht="24.95" customHeight="1" x14ac:dyDescent="0.2">
      <c r="A204" s="9">
        <v>120104</v>
      </c>
      <c r="B204" s="9" t="str">
        <v>כפר סבא בית ברל חלקה 13 בגוש 7597</v>
      </c>
      <c r="C204" s="9" t="str">
        <v>7597</v>
      </c>
      <c r="D204" s="9" t="str">
        <v>13</v>
      </c>
      <c r="E204" s="9" t="str">
        <v>0255-13-03-01</v>
      </c>
      <c r="F204" s="9" t="str">
        <v>תל אביב</v>
      </c>
      <c r="G204" s="9" t="str">
        <v>347/2013 </v>
      </c>
      <c r="H204" s="9" t="str">
        <v>כשר לרישום</v>
      </c>
      <c r="I204" s="9" t="str">
        <v>V</v>
      </c>
      <c r="J204" s="9">
        <v>1</v>
      </c>
      <c r="K204" s="9" t="str">
        <v>קטי+תמרה</v>
      </c>
      <c r="L204" s="9">
        <v>0</v>
      </c>
      <c r="M204" s="9" t="str">
        <v>נועה אהרונוב</v>
      </c>
      <c r="N204" s="9" t="str">
        <v>תמרה שלחה קבצים לאבי . אבי אישר - לשלוח את תיק החישובים .טרם הוחלט היכן יבדק 23.4.2013 .ביקשו מיילר .</v>
      </c>
      <c r="O204" s="9">
        <v>0</v>
      </c>
      <c r="P204" s="9">
        <v>0</v>
      </c>
      <c r="Q204" s="9">
        <v>0</v>
      </c>
    </row>
    <row r="205" spans="1:17" ht="24.95" customHeight="1" x14ac:dyDescent="0.2">
      <c r="A205" s="9">
        <v>110885</v>
      </c>
      <c r="B205" s="9" t="str">
        <v>תל אביב מתחם בזק - פארק החורשות</v>
      </c>
      <c r="C205" s="9" t="str">
        <v>7053</v>
      </c>
      <c r="D205" s="9" t="str">
        <v>25,60</v>
      </c>
      <c r="E205" s="9" t="str">
        <v>0480-14-03-01</v>
      </c>
      <c r="F205" s="9" t="str">
        <v>תל אביב</v>
      </c>
      <c r="G205" s="9" t="str">
        <v>764/2014</v>
      </c>
      <c r="H205" s="9" t="str">
        <v>כשר לרישום</v>
      </c>
      <c r="I205" s="9" t="str">
        <v>V</v>
      </c>
      <c r="J205" s="9">
        <v>1</v>
      </c>
      <c r="K205" s="9" t="str">
        <v>תמרה</v>
      </c>
      <c r="L205" s="9">
        <v>0</v>
      </c>
      <c r="M205" s="9">
        <v>0</v>
      </c>
      <c r="N205" s="9" t="str">
        <v>אליפסה חדשה עקב הגדלת השטח להפקעה לפי סעיף 19</v>
      </c>
      <c r="O205" s="9">
        <v>0</v>
      </c>
      <c r="P205" s="9">
        <v>0</v>
      </c>
      <c r="Q205" s="9">
        <v>0</v>
      </c>
    </row>
    <row r="206" spans="1:17" ht="24.95" customHeight="1" x14ac:dyDescent="0.2">
      <c r="A206" s="9">
        <v>110885</v>
      </c>
      <c r="B206" s="9" t="str">
        <v>תל אביב מתחם בזק - פארק החורשות  -  התצר מבוטל</v>
      </c>
      <c r="C206" s="9" t="str">
        <v>7053</v>
      </c>
      <c r="D206" s="9" t="str">
        <v>25,60</v>
      </c>
      <c r="E206" s="9" t="str">
        <v>0297-13-03-01</v>
      </c>
      <c r="F206" s="9" t="str">
        <v>תל אביב</v>
      </c>
      <c r="G206" s="9" t="str">
        <v>413/2013</v>
      </c>
      <c r="H206" s="9" t="str">
        <v>כשר לרישום</v>
      </c>
      <c r="I206" s="9" t="str">
        <v>V</v>
      </c>
      <c r="J206" s="9">
        <v>1</v>
      </c>
      <c r="K206" s="9" t="str">
        <v>תמרה</v>
      </c>
      <c r="L206" s="9">
        <v>0</v>
      </c>
      <c r="M206" s="9">
        <v>0</v>
      </c>
      <c r="N206" s="9" t="str">
        <v>אליפסה מבוטלת   . ראה אליפסה  764/2014</v>
      </c>
      <c r="O206" s="9">
        <v>0</v>
      </c>
      <c r="P206" s="9">
        <v>0</v>
      </c>
      <c r="Q206" s="9">
        <v>0</v>
      </c>
    </row>
    <row r="207" spans="1:17" ht="24.95" customHeight="1" x14ac:dyDescent="0.2">
      <c r="A207" s="9">
        <v>50236</v>
      </c>
      <c r="B207" s="9" t="str">
        <v>תל יצחק שיוך דירות</v>
      </c>
      <c r="C207" s="9" t="str">
        <v>8971</v>
      </c>
      <c r="D207" s="9" t="str">
        <v>שונות</v>
      </c>
      <c r="E207" s="9" t="str">
        <v>0353-13-03-01</v>
      </c>
      <c r="F207" s="9" t="str">
        <v>תל אביב</v>
      </c>
      <c r="G207" s="9" t="str">
        <v>497-499/2013</v>
      </c>
      <c r="H207" s="9" t="str">
        <v>כשר לרישום</v>
      </c>
      <c r="I207" s="9" t="str">
        <v>V</v>
      </c>
      <c r="J207" s="9">
        <v>3</v>
      </c>
      <c r="K207" s="9" t="str">
        <v>נטלי</v>
      </c>
      <c r="L207" s="9">
        <v>0</v>
      </c>
      <c r="M207" s="9" t="str">
        <v>אירנה איטקיס</v>
      </c>
      <c r="N207" s="9" t="str">
        <v>שלחנו קבצים פעם שניה . לריסה אישרה לפתוח תיק .</v>
      </c>
      <c r="O207" s="9">
        <v>0</v>
      </c>
      <c r="P207" s="9">
        <v>0</v>
      </c>
      <c r="Q207" s="9">
        <v>0</v>
      </c>
    </row>
    <row r="208" spans="1:17" ht="24.95" customHeight="1" x14ac:dyDescent="0.2">
      <c r="A208" s="9">
        <v>100684</v>
      </c>
      <c r="B208" s="9" t="str">
        <v>שפיים הרחבה דרומית</v>
      </c>
      <c r="C208" s="9" t="str">
        <v>8936</v>
      </c>
      <c r="D208" s="9" t="str">
        <v>שונות</v>
      </c>
      <c r="E208" s="9" t="str">
        <v>0354-13-03-01</v>
      </c>
      <c r="F208" s="9" t="str">
        <v>תל אביב</v>
      </c>
      <c r="G208" s="9" t="str">
        <v>500-501/2013</v>
      </c>
      <c r="H208" s="9" t="str">
        <v>כשר לרישום</v>
      </c>
      <c r="I208" s="9" t="str">
        <v>V</v>
      </c>
      <c r="J208" s="9">
        <v>2</v>
      </c>
      <c r="K208" s="9" t="str">
        <v>תמרה</v>
      </c>
      <c r="L208" s="9">
        <v>0</v>
      </c>
      <c r="M208" s="9" t="str">
        <v>מיכאל וינשטיין</v>
      </c>
      <c r="N208" s="9" t="str">
        <v>שלחנו קבצים פעם שניה לבדיקה . נבדקו במרחב ונמצאו תקינים . פתחו תיק היום 29.4.2013 .העברנו מיילרים</v>
      </c>
      <c r="O208" s="9">
        <v>0</v>
      </c>
      <c r="P208" s="9">
        <v>0</v>
      </c>
      <c r="Q208" s="9">
        <v>0</v>
      </c>
    </row>
    <row r="209" spans="1:17" ht="24.95" customHeight="1" x14ac:dyDescent="0.2">
      <c r="A209" s="9">
        <v>100025</v>
      </c>
      <c r="B209" s="9" t="str">
        <v>כרמי יוסף מרכז מסחרי תצר ובמש</v>
      </c>
      <c r="C209" s="9" t="str">
        <v>4874</v>
      </c>
      <c r="D209" s="9" t="str">
        <v>42</v>
      </c>
      <c r="E209" s="9" t="str">
        <v>0436-13-03-01</v>
      </c>
      <c r="F209" s="9" t="str">
        <v>תל אביב</v>
      </c>
      <c r="G209" s="9" t="str">
        <v>626/2013</v>
      </c>
      <c r="H209" s="9" t="str">
        <v>כשר לרישום</v>
      </c>
      <c r="I209" s="9" t="str">
        <v>V</v>
      </c>
      <c r="J209" s="9">
        <v>1</v>
      </c>
      <c r="K209" s="9" t="str">
        <v>נטלי</v>
      </c>
      <c r="L209" s="9">
        <v>0</v>
      </c>
      <c r="M209" s="9" t="str">
        <v>עודד ניידק 0506-225482</v>
      </c>
      <c r="N209" s="9" t="str">
        <v xml:space="preserve">יפתח היום תיק 5.6.2013 . העברנו  מיילרים כדי לשלוח לבדיקה בלינקולן </v>
      </c>
      <c r="O209" s="9">
        <v>0</v>
      </c>
      <c r="P209" s="9">
        <v>0</v>
      </c>
      <c r="Q209" s="9">
        <v>0</v>
      </c>
    </row>
    <row r="210" spans="1:17" ht="24.95" customHeight="1" x14ac:dyDescent="0.2">
      <c r="A210" s="9">
        <v>60672</v>
      </c>
      <c r="B210" s="9" t="str">
        <v>ניר גלים הרחבה - תיקון תצר</v>
      </c>
      <c r="C210" s="9" t="str">
        <v>197  3160</v>
      </c>
      <c r="D210" s="9" t="str">
        <v>שונות</v>
      </c>
      <c r="E210" s="9" t="str">
        <v>0476-13-03-01</v>
      </c>
      <c r="F210" s="9" t="str">
        <v>תל אביב</v>
      </c>
      <c r="G210" s="9" t="str">
        <v>717-718/13</v>
      </c>
      <c r="H210" s="9" t="str">
        <v>כשר לרישום</v>
      </c>
      <c r="I210" s="9" t="str">
        <v>V</v>
      </c>
      <c r="J210" s="9">
        <v>2</v>
      </c>
      <c r="K210" s="9" t="str">
        <v>נטלי</v>
      </c>
      <c r="L210" s="9">
        <v>0</v>
      </c>
      <c r="M210" s="9" t="str">
        <v>נועה אהרונוב</v>
      </c>
      <c r="N210" s="9" t="str">
        <v>יפתח היום תיק 5.6.2013 .שלחנו את רשת הבקרה לאישור מפ"י .תשר יכין d.rep - העברנו מיילרים</v>
      </c>
      <c r="O210" s="9">
        <v>0</v>
      </c>
      <c r="P210" s="9">
        <v>0</v>
      </c>
      <c r="Q210" s="9">
        <v>0</v>
      </c>
    </row>
    <row r="211" spans="1:17" ht="24.95" customHeight="1" x14ac:dyDescent="0.2">
      <c r="A211" s="9">
        <v>40236</v>
      </c>
      <c r="B211" s="9" t="str">
        <v>ערד גבעות מזרחיות</v>
      </c>
      <c r="C211" s="9" t="str">
        <v>100253/1   100254/1    38584  38585  38586  38587</v>
      </c>
      <c r="D211" s="9" t="str">
        <v>שונות</v>
      </c>
      <c r="E211" s="9" t="str">
        <v>0789-13-05-01</v>
      </c>
      <c r="F211" s="9" t="str">
        <v>דרום</v>
      </c>
      <c r="G211" s="9" t="str">
        <v>1242-1247/2013</v>
      </c>
      <c r="H211" s="9" t="str">
        <v>כשר לרישום</v>
      </c>
      <c r="I211" s="9">
        <v>0</v>
      </c>
      <c r="J211" s="9">
        <v>6</v>
      </c>
      <c r="K211" s="9" t="str">
        <v>תמרה</v>
      </c>
      <c r="L211" s="9">
        <v>0</v>
      </c>
      <c r="M211" s="9" t="str">
        <v>סרגיי</v>
      </c>
      <c r="N211" s="9">
        <v>0</v>
      </c>
      <c r="O211" s="9">
        <v>0</v>
      </c>
      <c r="P211" s="9">
        <v>0</v>
      </c>
      <c r="Q211" s="9">
        <v>0</v>
      </c>
    </row>
    <row r="212" spans="1:17" ht="24.95" customHeight="1" x14ac:dyDescent="0.2">
      <c r="A212" s="9">
        <v>110600</v>
      </c>
      <c r="B212" s="9" t="str">
        <v>שוהם גוש 6855 לתצר ממי</v>
      </c>
      <c r="C212" s="9" t="str">
        <v>6858 6855</v>
      </c>
      <c r="D212" s="9" t="str">
        <v>שונות</v>
      </c>
      <c r="E212" s="9" t="str">
        <v>0550-13-03-01</v>
      </c>
      <c r="F212" s="9" t="str">
        <v>תל אביב</v>
      </c>
      <c r="G212" s="9" t="str">
        <v>847-849/13</v>
      </c>
      <c r="H212" s="9" t="str">
        <v>כשר לרישום</v>
      </c>
      <c r="I212" s="9" t="str">
        <v>V</v>
      </c>
      <c r="J212" s="9">
        <v>3</v>
      </c>
      <c r="K212" s="9" t="str">
        <v>תמרה</v>
      </c>
      <c r="L212" s="9">
        <v>0</v>
      </c>
      <c r="M212" s="9" t="str">
        <v>מיכאל וינשטיין</v>
      </c>
      <c r="N212" s="9" t="str">
        <v>הקבצים נבדקו במחוז . התקיימה  פגישה במחוז .האם נפתח תיק ?</v>
      </c>
      <c r="O212" s="9">
        <v>0</v>
      </c>
      <c r="P212" s="9">
        <v>0</v>
      </c>
      <c r="Q212" s="9">
        <v>0</v>
      </c>
    </row>
    <row r="213" spans="1:17" ht="24.95" customHeight="1" x14ac:dyDescent="0.2">
      <c r="A213" s="9">
        <v>100714</v>
      </c>
      <c r="B213" s="9" t="str">
        <v>לוד שער העיר תצר</v>
      </c>
      <c r="C213" s="9" t="str">
        <v>4026</v>
      </c>
      <c r="D213" s="9" t="str">
        <v>שונות</v>
      </c>
      <c r="E213" s="9" t="str">
        <v>0549-13-03-01</v>
      </c>
      <c r="F213" s="9" t="str">
        <v>תל אביב</v>
      </c>
      <c r="G213" s="9" t="str">
        <v>845-846/13</v>
      </c>
      <c r="H213" s="9" t="str">
        <v>כשר לרישום</v>
      </c>
      <c r="I213" s="9" t="str">
        <v>V</v>
      </c>
      <c r="J213" s="9">
        <v>2</v>
      </c>
      <c r="K213" s="9" t="str">
        <v>תמרה</v>
      </c>
      <c r="L213" s="9">
        <v>0</v>
      </c>
      <c r="M213" s="9">
        <v>0</v>
      </c>
      <c r="N213" s="9" t="str">
        <v>הקבצים נבדקו במחוז . התקיימה  פגישה במחוז .האם נפתח תיק ? אסנת פתחה</v>
      </c>
      <c r="O213" s="9">
        <v>0</v>
      </c>
      <c r="P213" s="9">
        <v>0</v>
      </c>
      <c r="Q213" s="9">
        <v>0</v>
      </c>
    </row>
    <row r="214" spans="1:17" ht="24.95" customHeight="1" x14ac:dyDescent="0.2">
      <c r="A214" s="9">
        <v>110584</v>
      </c>
      <c r="B214" s="9" t="str">
        <v>אור יהודה מאא1022</v>
      </c>
      <c r="C214" s="9" t="str">
        <v>7216</v>
      </c>
      <c r="D214" s="9" t="str">
        <v>92 , 145 , 154</v>
      </c>
      <c r="E214" s="9" t="str">
        <v>0579-13-03-01</v>
      </c>
      <c r="F214" s="9" t="str">
        <v>תל אביב</v>
      </c>
      <c r="G214" s="9" t="str">
        <v>893-894/2013</v>
      </c>
      <c r="H214" s="9" t="str">
        <v>כשר לרישום</v>
      </c>
      <c r="I214" s="9" t="str">
        <v>V</v>
      </c>
      <c r="J214" s="9">
        <v>2</v>
      </c>
      <c r="K214" s="9" t="str">
        <v>תמרה</v>
      </c>
      <c r="L214" s="9">
        <v>0</v>
      </c>
      <c r="M214" s="9" t="str">
        <v>מיכאל וינשטיין</v>
      </c>
      <c r="N214" s="9" t="str">
        <v>הקבצים נבדקו במחוז . התקיימה  פגישה במחוז .האם נפתח תיק ? אסנת תפתח . יש בעיות עם הצק .</v>
      </c>
      <c r="O214" s="9">
        <v>0</v>
      </c>
      <c r="P214" s="9">
        <v>0</v>
      </c>
      <c r="Q214" s="9">
        <v>0</v>
      </c>
    </row>
    <row r="215" spans="1:17" ht="24.95" customHeight="1" x14ac:dyDescent="0.2">
      <c r="A215" s="9">
        <v>110154</v>
      </c>
      <c r="B215" s="9" t="str">
        <v>מודיעין תצר בגוש 5816 חלקה 9 פלסים</v>
      </c>
      <c r="C215" s="9" t="str">
        <v>5816</v>
      </c>
      <c r="D215" s="9" t="str">
        <v>9</v>
      </c>
      <c r="E215" s="9" t="str">
        <v>0618-13-03-01</v>
      </c>
      <c r="F215" s="9" t="str">
        <v>תל אביב</v>
      </c>
      <c r="G215" s="9" t="str">
        <v>944/2013</v>
      </c>
      <c r="H215" s="9" t="str">
        <v>כשר לרישום</v>
      </c>
      <c r="I215" s="9" t="str">
        <v>V</v>
      </c>
      <c r="J215" s="9">
        <v>1</v>
      </c>
      <c r="K215" s="9" t="str">
        <v>נטלי</v>
      </c>
      <c r="L215" s="9">
        <v>0</v>
      </c>
      <c r="M215" s="9" t="str">
        <v>נועה אהרונוב</v>
      </c>
      <c r="N215" s="9" t="str">
        <v>נפתח תיק . ביקשו מיילרים</v>
      </c>
      <c r="O215" s="9">
        <v>0</v>
      </c>
      <c r="P215" s="9">
        <v>0</v>
      </c>
      <c r="Q215" s="9">
        <v>0</v>
      </c>
    </row>
    <row r="216" spans="1:17" ht="24.95" customHeight="1" x14ac:dyDescent="0.2">
      <c r="A216" s="9">
        <v>90428</v>
      </c>
      <c r="B216" s="9" t="str">
        <v>רמת השרון תדהר גוש 6550</v>
      </c>
      <c r="C216" s="9" t="str">
        <v>6550</v>
      </c>
      <c r="D216" s="9" t="str">
        <v>185-187 , 199 , 214</v>
      </c>
      <c r="E216" s="9" t="str">
        <v>0700-13-03-01</v>
      </c>
      <c r="F216" s="9" t="str">
        <v>תל אביב</v>
      </c>
      <c r="G216" s="9" t="str">
        <v>1099-1100/13</v>
      </c>
      <c r="H216" s="9" t="str">
        <v>כשר לרישום</v>
      </c>
      <c r="I216" s="9" t="str">
        <v>V</v>
      </c>
      <c r="J216" s="9">
        <v>2</v>
      </c>
      <c r="K216" s="9" t="str">
        <v>תמרה</v>
      </c>
      <c r="L216" s="9">
        <v>0</v>
      </c>
      <c r="M216" s="9" t="str">
        <v>אירנה איטקיס</v>
      </c>
      <c r="N216" s="9" t="str">
        <v>אירנה אישרה לפתוח תיק 20.8.2013 . האם נפתח תיק ? אסנת פתחה . שלחנו מיילרים</v>
      </c>
      <c r="O216" s="9">
        <v>0</v>
      </c>
      <c r="P216" s="9">
        <v>0</v>
      </c>
      <c r="Q216" s="9">
        <v>0</v>
      </c>
    </row>
    <row r="217" spans="1:17" ht="24.95" customHeight="1" x14ac:dyDescent="0.2">
      <c r="A217" s="9">
        <v>120538</v>
      </c>
      <c r="B217" s="9" t="str">
        <v>כפר שמריהו מתחם הנוריות - תתג</v>
      </c>
      <c r="C217" s="9" t="str">
        <v>6665 , 6666</v>
      </c>
      <c r="D217" s="9" t="str">
        <v>שונות</v>
      </c>
      <c r="E217" s="9" t="str">
        <v>0791-13-03-01</v>
      </c>
      <c r="F217" s="9" t="str">
        <v>תל אביב</v>
      </c>
      <c r="G217" s="9" t="str">
        <v>1253-1254/2013</v>
      </c>
      <c r="H217" s="9" t="str">
        <v>כשר לרישום</v>
      </c>
      <c r="I217" s="9" t="str">
        <v>V</v>
      </c>
      <c r="J217" s="9">
        <v>2</v>
      </c>
      <c r="K217" s="9" t="str">
        <v>תמרה</v>
      </c>
      <c r="L217" s="9">
        <v>0</v>
      </c>
      <c r="M217" s="9" t="str">
        <v>אירנה איטקיס</v>
      </c>
      <c r="N217" s="9" t="str">
        <v>אירנה איטקיס אישרה לפתוח תיק 20.8.2013 . שלחנו קבצים סופיים</v>
      </c>
      <c r="O217" s="9">
        <v>0</v>
      </c>
      <c r="P217" s="9">
        <v>0</v>
      </c>
      <c r="Q217" s="9">
        <v>0</v>
      </c>
    </row>
    <row r="218" spans="1:17" ht="24.95" customHeight="1" x14ac:dyDescent="0.2">
      <c r="A218" s="9">
        <v>80303</v>
      </c>
      <c r="B218" s="9" t="str">
        <v>רגבה תצר ממי</v>
      </c>
      <c r="C218" s="9" t="str">
        <v>18483,18482,19799,21132</v>
      </c>
      <c r="D218" s="9">
        <v>0</v>
      </c>
      <c r="E218" s="9">
        <v>0</v>
      </c>
      <c r="F218" s="9" t="str">
        <v>חיפה</v>
      </c>
      <c r="G218" s="9" t="str">
        <v>932-935/2011</v>
      </c>
      <c r="H218" s="9" t="str">
        <v>כשר לרישום</v>
      </c>
      <c r="I218" s="9" t="str">
        <v>V</v>
      </c>
      <c r="J218" s="9">
        <v>4</v>
      </c>
      <c r="K218" s="9" t="str">
        <v>נטלי</v>
      </c>
      <c r="L218" s="9">
        <v>0</v>
      </c>
      <c r="M218" s="9" t="str">
        <v>נינה אונגר</v>
      </c>
      <c r="N218" s="9" t="str">
        <v>שלחנו נייר לבן . מחכים לאישור מאג'ד ואח"ב מהנדס מטה אשר.קיבלנו ושלחנו שוב לנינה . מסרנו מיילרים</v>
      </c>
      <c r="O218" s="9">
        <v>0</v>
      </c>
      <c r="P218" s="9">
        <v>0</v>
      </c>
      <c r="Q218" s="9">
        <v>0</v>
      </c>
    </row>
    <row r="219" spans="1:17" ht="24.95" customHeight="1" x14ac:dyDescent="0.2">
      <c r="A219" s="9">
        <v>40425</v>
      </c>
      <c r="B219" s="9" t="str">
        <v>שדמות דבורה</v>
      </c>
      <c r="C219" s="9" t="str">
        <v>15121 , 15180 ונוספים</v>
      </c>
      <c r="D219" s="9">
        <v>0</v>
      </c>
      <c r="E219" s="9" t="str">
        <v>0333-12-02-01</v>
      </c>
      <c r="F219" s="9" t="str">
        <v>חיפה</v>
      </c>
      <c r="G219" s="9" t="str">
        <v>517-525/2012</v>
      </c>
      <c r="H219" s="9" t="str">
        <v>כשר לרישום</v>
      </c>
      <c r="I219" s="9" t="str">
        <v>V</v>
      </c>
      <c r="J219" s="9">
        <v>9</v>
      </c>
      <c r="K219" s="9" t="str">
        <v>נטלי</v>
      </c>
      <c r="L219" s="9">
        <v>0</v>
      </c>
      <c r="M219" s="9" t="str">
        <v>ולד טריפונוב</v>
      </c>
      <c r="N219" s="9" t="str">
        <v>שלחנו נייר לבן. שלחנו תיקונים ב 17.4.2013 . מסרנו מיילרים</v>
      </c>
      <c r="O219" s="9">
        <v>0</v>
      </c>
      <c r="P219" s="9">
        <v>0</v>
      </c>
      <c r="Q219" s="9">
        <v>0</v>
      </c>
    </row>
    <row r="220" spans="1:17" ht="24.95" customHeight="1" x14ac:dyDescent="0.2">
      <c r="A220" s="9">
        <v>130007</v>
      </c>
      <c r="B220" s="9" t="str">
        <v>הרצליה הילס תבע הר-מק- 1903-א על בסיס 060373</v>
      </c>
      <c r="C220" s="9" t="str">
        <v>7200</v>
      </c>
      <c r="D220" s="9">
        <v>0</v>
      </c>
      <c r="E220" s="9" t="str">
        <v>1004-13-03-01</v>
      </c>
      <c r="F220" s="9" t="str">
        <v>תל אביב</v>
      </c>
      <c r="G220" s="9" t="str">
        <v>1622/2013 </v>
      </c>
      <c r="H220" s="9" t="str">
        <v>כשר לרישום</v>
      </c>
      <c r="I220" s="9" t="str">
        <v>V</v>
      </c>
      <c r="J220" s="9">
        <v>1</v>
      </c>
      <c r="K220" s="9" t="str">
        <v>תמרה</v>
      </c>
      <c r="L220" s="9">
        <v>0</v>
      </c>
      <c r="M220" s="9">
        <v>0</v>
      </c>
      <c r="N220" s="9" t="str">
        <v>אישרו את קבלת הקבצים . שלחנו מיילרים  .</v>
      </c>
      <c r="O220" s="9">
        <v>0</v>
      </c>
      <c r="P220" s="9">
        <v>0</v>
      </c>
      <c r="Q220" s="9">
        <v>0</v>
      </c>
    </row>
    <row r="221" spans="1:17" ht="24.95" customHeight="1" x14ac:dyDescent="0.2">
      <c r="A221" s="9">
        <v>110781</v>
      </c>
      <c r="B221" s="9" t="str">
        <v>רכבת קלה חידוש תצרים גוש דן</v>
      </c>
      <c r="C221" s="9" t="str">
        <v>7421</v>
      </c>
      <c r="D221" s="9" t="str">
        <v>9 , 11-13</v>
      </c>
      <c r="E221" s="9" t="str">
        <v>1037-13-03-01</v>
      </c>
      <c r="F221" s="9" t="str">
        <v>תל אביב</v>
      </c>
      <c r="G221" s="9" t="str">
        <v>1698-2013</v>
      </c>
      <c r="H221" s="9" t="str">
        <v>כשר לרישום</v>
      </c>
      <c r="I221" s="9" t="str">
        <v>V</v>
      </c>
      <c r="J221" s="9">
        <v>1</v>
      </c>
      <c r="K221" s="9" t="str">
        <v>נטלי</v>
      </c>
      <c r="L221" s="9">
        <v>0</v>
      </c>
      <c r="M221" s="9">
        <v>0</v>
      </c>
      <c r="N221" s="9" t="str">
        <v>משרדנו חתום על ההתחייבות הכספית</v>
      </c>
      <c r="O221" s="9">
        <v>0</v>
      </c>
      <c r="P221" s="9">
        <v>0</v>
      </c>
      <c r="Q221" s="9">
        <v>0</v>
      </c>
    </row>
    <row r="222" spans="1:17" ht="24.95" customHeight="1" x14ac:dyDescent="0.2">
      <c r="A222" s="9">
        <v>110443</v>
      </c>
      <c r="B222" s="9" t="str">
        <v>מושב איתן הרחבה</v>
      </c>
      <c r="C222" s="9" t="str">
        <v>2995 , 2997 , 3219</v>
      </c>
      <c r="D222" s="9" t="str">
        <v>שונות</v>
      </c>
      <c r="E222" s="9" t="str">
        <v>0747-14-05-01</v>
      </c>
      <c r="F222" s="9" t="str">
        <v>דרום</v>
      </c>
      <c r="G222" s="9" t="str">
        <v>1217-1219/2014</v>
      </c>
      <c r="H222" s="9" t="str">
        <v>מחוז</v>
      </c>
      <c r="I222" s="9">
        <v>0</v>
      </c>
      <c r="J222" s="9">
        <v>3</v>
      </c>
      <c r="K222" s="9" t="str">
        <v>אירה</v>
      </c>
      <c r="L222" s="9" t="str">
        <v>נמסר היום 8.2.2015</v>
      </c>
      <c r="M222" s="9" t="str">
        <v>מחכים למסמכים לפתיחת תיק ביקורת תצר</v>
      </c>
      <c r="N222" s="9">
        <v>0</v>
      </c>
      <c r="O222" s="9" t="str">
        <v>גלעד לוי</v>
      </c>
      <c r="P222" s="9">
        <v>0</v>
      </c>
      <c r="Q222" s="9">
        <v>0</v>
      </c>
    </row>
    <row r="223" spans="1:17" ht="24.95" customHeight="1" x14ac:dyDescent="0.2">
      <c r="A223" s="9">
        <v>110472</v>
      </c>
      <c r="B223" s="9" t="str">
        <v>ניר בנים הרחבה תצר ממי ע"ב 050254</v>
      </c>
      <c r="C223" s="9" t="str">
        <v>2934</v>
      </c>
      <c r="D223" s="9" t="str">
        <v>41,42,43,92</v>
      </c>
      <c r="E223" s="9" t="str">
        <v>1009-14-05-01</v>
      </c>
      <c r="F223" s="9" t="str">
        <v>דרום</v>
      </c>
      <c r="G223" s="9" t="str">
        <v>1628/2014</v>
      </c>
      <c r="H223" s="9" t="str">
        <v>מחוז</v>
      </c>
      <c r="I223" s="9">
        <v>0</v>
      </c>
      <c r="J223" s="9">
        <v>1</v>
      </c>
      <c r="K223" s="9" t="str">
        <v>תמרה</v>
      </c>
      <c r="L223" s="9" t="str">
        <v>27.10.2014</v>
      </c>
      <c r="M223" s="9">
        <v>0</v>
      </c>
      <c r="N223" s="9">
        <v>0</v>
      </c>
      <c r="O223" s="9">
        <v>0</v>
      </c>
      <c r="P223" s="9" t="str">
        <v>טרם נפתח</v>
      </c>
      <c r="Q223" s="9">
        <v>0</v>
      </c>
    </row>
    <row r="224" spans="1:17" ht="24.95" customHeight="1" x14ac:dyDescent="0.2">
      <c r="A224" s="9">
        <v>40669</v>
      </c>
      <c r="B224" s="9" t="str">
        <v>רמת השרון מק-1000 תיקון</v>
      </c>
      <c r="C224" s="9" t="str">
        <v>6603</v>
      </c>
      <c r="D224" s="9">
        <v>0</v>
      </c>
      <c r="E224" s="9" t="str">
        <v>0082-13-03-01</v>
      </c>
      <c r="F224" s="9" t="str">
        <v>תל אביב</v>
      </c>
      <c r="G224" s="9" t="str">
        <v>103/2013</v>
      </c>
      <c r="H224" s="9" t="str">
        <v>כשר לרישום</v>
      </c>
      <c r="I224" s="9" t="str">
        <v>V</v>
      </c>
      <c r="J224" s="9">
        <v>1</v>
      </c>
      <c r="K224" s="9" t="str">
        <v>תמרה</v>
      </c>
      <c r="L224" s="9">
        <v>0</v>
      </c>
      <c r="M224" s="9" t="str">
        <v>ויקה</v>
      </c>
      <c r="N224" s="9" t="str">
        <v>תיקנתי במיילר בתאריך 12.2.2014 . מחכה להעתק אור+ דוח קרקע</v>
      </c>
      <c r="O224" s="9">
        <v>0</v>
      </c>
      <c r="P224" s="9">
        <v>0</v>
      </c>
      <c r="Q224" s="9">
        <v>0</v>
      </c>
    </row>
    <row r="225" spans="1:17" ht="24.95" customHeight="1" x14ac:dyDescent="0.2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</row>
    <row r="226" spans="1:17" ht="24.95" customHeight="1" x14ac:dyDescent="0.2">
      <c r="A226" s="9">
        <v>120709</v>
      </c>
      <c r="B226" s="9" t="str">
        <v>מעצ, כביש 4  מחלף אלוף שדה בר אילן</v>
      </c>
      <c r="C226" s="9" t="str">
        <v>שונים</v>
      </c>
      <c r="D226" s="9">
        <v>0</v>
      </c>
      <c r="E226" s="9" t="str">
        <v>817-14-03-01</v>
      </c>
      <c r="F226" s="9" t="str">
        <v>הגליל</v>
      </c>
      <c r="G226" s="9" t="str">
        <v>1309-1316/2014</v>
      </c>
      <c r="H226" s="9" t="str">
        <v>מחוז</v>
      </c>
      <c r="I226" s="9">
        <v>0</v>
      </c>
      <c r="J226" s="9">
        <v>8</v>
      </c>
      <c r="K226" s="9" t="str">
        <v>נטלי</v>
      </c>
      <c r="L226" s="9" t="str">
        <v>28.8.2014</v>
      </c>
      <c r="M226" s="9" t="str">
        <v>יוסף יוסף</v>
      </c>
      <c r="N226" s="9" t="str">
        <v>בתור</v>
      </c>
      <c r="O226" s="9">
        <v>0</v>
      </c>
      <c r="P226" s="9">
        <v>0</v>
      </c>
      <c r="Q226" s="9">
        <v>0</v>
      </c>
    </row>
    <row r="227" spans="1:17" ht="24.95" customHeight="1" x14ac:dyDescent="0.2">
      <c r="A227" s="9">
        <v>120015</v>
      </c>
      <c r="B227" s="9" t="str">
        <v>כביש עוקף קריות תצר מעצ</v>
      </c>
      <c r="C227" s="9" t="str">
        <v>שונים</v>
      </c>
      <c r="D227" s="9">
        <v>0</v>
      </c>
      <c r="E227" s="9" t="str">
        <v>1030-13-01-01</v>
      </c>
      <c r="F227" s="9" t="str">
        <v>הגליל</v>
      </c>
      <c r="G227" s="9" t="str">
        <v>1670-1690/13</v>
      </c>
      <c r="H227" s="9" t="str">
        <v>מחוז</v>
      </c>
      <c r="I227" s="9">
        <v>0</v>
      </c>
      <c r="J227" s="9">
        <v>21</v>
      </c>
      <c r="K227" s="9" t="str">
        <v>תמרה</v>
      </c>
      <c r="L227" s="9" t="str">
        <v>21.10.2014</v>
      </c>
      <c r="M227" s="9" t="str">
        <v>ניקולא</v>
      </c>
      <c r="N227" s="9" t="str">
        <v>ראמי התחיל</v>
      </c>
      <c r="O227" s="9">
        <v>0</v>
      </c>
      <c r="P227" s="9">
        <v>0</v>
      </c>
      <c r="Q227" s="9">
        <v>0</v>
      </c>
    </row>
    <row r="228" spans="1:17" ht="24.95" customHeight="1" x14ac:dyDescent="0.2">
      <c r="A228" s="9">
        <v>120706</v>
      </c>
      <c r="B228" s="9" t="str">
        <v>מעצ, כביש 75  רמת יישי נהלל</v>
      </c>
      <c r="C228" s="9">
        <v>0</v>
      </c>
      <c r="D228" s="9">
        <v>0</v>
      </c>
      <c r="E228" s="9" t="str">
        <v>1111-13-01-01</v>
      </c>
      <c r="F228" s="9" t="str">
        <v>הגליל</v>
      </c>
      <c r="G228" s="9" t="str">
        <v>1833-1843/2013</v>
      </c>
      <c r="H228" s="9" t="str">
        <v>מחוז</v>
      </c>
      <c r="I228" s="9">
        <v>0</v>
      </c>
      <c r="J228" s="9">
        <v>11</v>
      </c>
      <c r="K228" s="9" t="str">
        <v>תמרה</v>
      </c>
      <c r="L228" s="9" t="str">
        <v>15.12.2013</v>
      </c>
      <c r="M228" s="9" t="str">
        <v>ניקולא</v>
      </c>
      <c r="N228" s="9" t="str">
        <v>בעבודה</v>
      </c>
      <c r="O228" s="9">
        <v>0</v>
      </c>
      <c r="P228" s="9">
        <v>0</v>
      </c>
      <c r="Q228" s="9">
        <v>0</v>
      </c>
    </row>
    <row r="229" spans="1:17" ht="24.95" customHeight="1" x14ac:dyDescent="0.2">
      <c r="A229" s="9">
        <v>60321</v>
      </c>
      <c r="B229" s="9" t="str">
        <v>תל אביב שוק בצלאל</v>
      </c>
      <c r="C229" s="9" t="str">
        <v>6912</v>
      </c>
      <c r="D229" s="9" t="str">
        <v>32,31,24,23,22,21,15 </v>
      </c>
      <c r="E229" s="9">
        <v>0</v>
      </c>
      <c r="F229" s="9" t="str">
        <v>תל אביב</v>
      </c>
      <c r="G229" s="9" t="str">
        <v>93-94/2014</v>
      </c>
      <c r="H229" s="9" t="str">
        <v>כשר לרישום</v>
      </c>
      <c r="I229" s="9" t="str">
        <v>V</v>
      </c>
      <c r="J229" s="9">
        <v>2</v>
      </c>
      <c r="K229" s="9" t="str">
        <v>נטלי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</row>
    <row r="230" spans="1:17" ht="24.95" customHeight="1" x14ac:dyDescent="0.2">
      <c r="A230" s="9">
        <v>120101</v>
      </c>
      <c r="B230" s="9" t="str">
        <v>כיסרא סמיע</v>
      </c>
      <c r="C230" s="9" t="str">
        <v xml:space="preserve">19092 , 19091 , 19201 , </v>
      </c>
      <c r="D230" s="9">
        <v>0</v>
      </c>
      <c r="E230" s="9" t="str">
        <v>0496-14-01-01</v>
      </c>
      <c r="F230" s="9" t="str">
        <v>הגליל</v>
      </c>
      <c r="G230" s="9" t="str">
        <v>795-800/2014</v>
      </c>
      <c r="H230" s="9" t="str">
        <v>מחוז</v>
      </c>
      <c r="I230" s="9">
        <v>0</v>
      </c>
      <c r="J230" s="9">
        <v>6</v>
      </c>
      <c r="K230" s="9" t="str">
        <v>אירה</v>
      </c>
      <c r="L230" s="9" t="str">
        <v>25.6.2014</v>
      </c>
      <c r="M230" s="9" t="str">
        <v>ניקולא</v>
      </c>
      <c r="N230" s="9">
        <v>0</v>
      </c>
      <c r="O230" s="9">
        <v>0</v>
      </c>
      <c r="P230" s="9">
        <v>0</v>
      </c>
      <c r="Q230" s="9">
        <v>0</v>
      </c>
    </row>
    <row r="231" spans="1:17" ht="24.95" customHeight="1" x14ac:dyDescent="0.2">
      <c r="A231" s="9">
        <v>140036</v>
      </c>
      <c r="B231" s="9" t="str">
        <v>חריש איחוד מגרשים 431 432</v>
      </c>
      <c r="C231" s="9" t="str">
        <v>9070</v>
      </c>
      <c r="D231" s="9" t="str">
        <v>ארעיות 45 , 46</v>
      </c>
      <c r="E231" s="9" t="str">
        <v xml:space="preserve"> 0805-14-01-01</v>
      </c>
      <c r="F231" s="9" t="str">
        <v>הגליל</v>
      </c>
      <c r="G231" s="9" t="str">
        <v>1297/2014</v>
      </c>
      <c r="H231" s="9" t="str">
        <v>מחוז</v>
      </c>
      <c r="I231" s="9">
        <v>0</v>
      </c>
      <c r="J231" s="9">
        <v>1</v>
      </c>
      <c r="K231" s="9" t="str">
        <v>אירה</v>
      </c>
      <c r="L231" s="9">
        <v>0</v>
      </c>
      <c r="M231" s="9">
        <v>0</v>
      </c>
      <c r="N231" s="9" t="str">
        <v xml:space="preserve">(תכנית 41) </v>
      </c>
      <c r="O231" s="9" t="str">
        <v>גלעד לוי</v>
      </c>
      <c r="P231" s="9">
        <v>0</v>
      </c>
      <c r="Q231" s="9">
        <v>0</v>
      </c>
    </row>
    <row r="232" spans="1:17" ht="24.95" customHeight="1" x14ac:dyDescent="0.2">
      <c r="A232" s="9">
        <v>80435</v>
      </c>
      <c r="B232" s="9" t="str">
        <v>כפר יחזקאל תצר ממי</v>
      </c>
      <c r="C232" s="9">
        <v>0</v>
      </c>
      <c r="D232" s="9">
        <v>0</v>
      </c>
      <c r="E232" s="9" t="str">
        <v>0820-14-01-01</v>
      </c>
      <c r="F232" s="9" t="str">
        <v>הגליל</v>
      </c>
      <c r="G232" s="9" t="str">
        <v>1336-1342/2014</v>
      </c>
      <c r="H232" s="9" t="str">
        <v>מחוז</v>
      </c>
      <c r="I232" s="9">
        <v>0</v>
      </c>
      <c r="J232" s="9">
        <v>6</v>
      </c>
      <c r="K232" s="9" t="str">
        <v>אירה</v>
      </c>
      <c r="L232" s="9" t="str">
        <v>10.9.2014</v>
      </c>
      <c r="M232" s="9" t="str">
        <v>יוסף יוסף</v>
      </c>
      <c r="N232" s="9">
        <v>0</v>
      </c>
      <c r="O232" s="9">
        <v>0</v>
      </c>
      <c r="P232" s="9">
        <v>0</v>
      </c>
      <c r="Q232" s="9">
        <v>0</v>
      </c>
    </row>
    <row r="233" spans="1:17" ht="24.95" customHeight="1" x14ac:dyDescent="0.2">
      <c r="A233" s="9">
        <v>120593</v>
      </c>
      <c r="B233" s="9" t="str">
        <v>הרצליה תצר הר1985א - חלק 1/2</v>
      </c>
      <c r="C233" s="9" t="str">
        <v>שונים</v>
      </c>
      <c r="D233" s="9">
        <v>0</v>
      </c>
      <c r="E233" s="9" t="str">
        <v>0569-14-03-01</v>
      </c>
      <c r="F233" s="9" t="str">
        <v>הגליל</v>
      </c>
      <c r="G233" s="9" t="str">
        <v>885-895/2014</v>
      </c>
      <c r="H233" s="9" t="str">
        <v>כשר לרישום</v>
      </c>
      <c r="I233" s="9">
        <v>0</v>
      </c>
      <c r="J233" s="9">
        <v>11</v>
      </c>
      <c r="K233" s="9" t="str">
        <v>נטלי</v>
      </c>
      <c r="L233" s="9" t="str">
        <v>11.8.2014</v>
      </c>
      <c r="M233" s="9" t="str">
        <v>יוסף יוסף</v>
      </c>
      <c r="N233" s="9">
        <v>0</v>
      </c>
      <c r="O233" s="9">
        <v>0</v>
      </c>
      <c r="P233" s="9">
        <v>0</v>
      </c>
      <c r="Q233" s="9">
        <v>0</v>
      </c>
    </row>
    <row r="234" spans="1:17" ht="24.95" customHeight="1" x14ac:dyDescent="0.2">
      <c r="A234" s="9">
        <v>120593</v>
      </c>
      <c r="B234" s="9" t="str">
        <v>הרצליה תצר הר1985א - חלק 2/2</v>
      </c>
      <c r="C234" s="9" t="str">
        <v>שונים</v>
      </c>
      <c r="D234" s="9">
        <v>0</v>
      </c>
      <c r="E234" s="9" t="str">
        <v>1124-14-03-01</v>
      </c>
      <c r="F234" s="9" t="str">
        <v>הגליל</v>
      </c>
      <c r="G234" s="9" t="str">
        <v>1822-1829/2014</v>
      </c>
      <c r="H234" s="9" t="str">
        <v>מחוז</v>
      </c>
      <c r="I234" s="9">
        <v>0</v>
      </c>
      <c r="J234" s="9">
        <v>8</v>
      </c>
      <c r="K234" s="9" t="str">
        <v>נטלי</v>
      </c>
      <c r="L234" s="9" t="str">
        <v>11.8.2014</v>
      </c>
      <c r="M234" s="9" t="str">
        <v>יוסף יוסף</v>
      </c>
      <c r="N234" s="9">
        <v>0</v>
      </c>
      <c r="O234" s="9">
        <v>0</v>
      </c>
      <c r="P234" s="9">
        <v>0</v>
      </c>
      <c r="Q234" s="9">
        <v>0</v>
      </c>
    </row>
    <row r="235" spans="1:17" ht="24.95" customHeight="1" x14ac:dyDescent="0.2">
      <c r="A235" s="9">
        <v>30519</v>
      </c>
      <c r="B235" s="9" t="str">
        <v>האון שיוך דירות</v>
      </c>
      <c r="C235" s="9" t="str">
        <v>שונים</v>
      </c>
      <c r="D235" s="9">
        <v>0</v>
      </c>
      <c r="E235" s="9" t="str">
        <v>0950-14-01-01</v>
      </c>
      <c r="F235" s="9" t="str">
        <v>הגליל</v>
      </c>
      <c r="G235" s="9" t="str">
        <v>1538-1543/2014</v>
      </c>
      <c r="H235" s="9" t="str">
        <v>מחוז</v>
      </c>
      <c r="I235" s="9">
        <v>0</v>
      </c>
      <c r="J235" s="9">
        <v>6</v>
      </c>
      <c r="K235" s="9" t="str">
        <v>נטלי</v>
      </c>
      <c r="L235" s="9" t="str">
        <v>20.10.2014</v>
      </c>
      <c r="M235" s="9" t="str">
        <v>יוסף יוסף</v>
      </c>
      <c r="N235" s="9">
        <v>0</v>
      </c>
      <c r="O235" s="9">
        <v>0</v>
      </c>
      <c r="P235" s="9">
        <v>0</v>
      </c>
      <c r="Q235" s="9">
        <v>0</v>
      </c>
    </row>
    <row r="236" spans="1:17" ht="24.95" customHeight="1" x14ac:dyDescent="0.2">
      <c r="A236" s="9">
        <v>70078</v>
      </c>
      <c r="B236" s="9" t="str">
        <v>צפת עמק התכלת</v>
      </c>
      <c r="C236" s="9" t="str">
        <v>14679</v>
      </c>
      <c r="D236" s="9" t="str">
        <v>1-4 ,,,</v>
      </c>
      <c r="E236" s="9" t="str">
        <v>0695-14-01-01</v>
      </c>
      <c r="F236" s="9" t="str">
        <v>הגליל</v>
      </c>
      <c r="G236" s="9" t="str">
        <v>1121-1122/2014</v>
      </c>
      <c r="H236" s="9" t="str">
        <v>כשר לרישום</v>
      </c>
      <c r="I236" s="9">
        <v>0</v>
      </c>
      <c r="J236" s="9">
        <v>2</v>
      </c>
      <c r="K236" s="9" t="str">
        <v>אירה</v>
      </c>
      <c r="L236" s="9" t="str">
        <v>2.7.2014</v>
      </c>
      <c r="M236" s="9" t="str">
        <v>אדהם</v>
      </c>
      <c r="N236" s="9">
        <v>0</v>
      </c>
      <c r="O236" s="9">
        <v>0</v>
      </c>
      <c r="P236" s="9">
        <v>0</v>
      </c>
      <c r="Q236" s="9">
        <v>0</v>
      </c>
    </row>
    <row r="237" spans="1:17" ht="24.95" customHeight="1" x14ac:dyDescent="0.2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</row>
    <row r="238" spans="1:17" ht="24.95" customHeight="1" x14ac:dyDescent="0.2">
      <c r="A238" s="9">
        <v>60071</v>
      </c>
      <c r="B238" s="9" t="str">
        <v>כרכום</v>
      </c>
      <c r="C238" s="9" t="str">
        <v>שונים</v>
      </c>
      <c r="D238" s="9" t="str">
        <v xml:space="preserve">13571 13578 13574 13573 13570 14078 14079 13618 </v>
      </c>
      <c r="E238" s="9" t="str">
        <v>939-11-02-01</v>
      </c>
      <c r="F238" s="9" t="str">
        <v>חיפה</v>
      </c>
      <c r="G238" s="9" t="str">
        <v>1247-1259/2011</v>
      </c>
      <c r="H238" s="9" t="str">
        <v>מחוז</v>
      </c>
      <c r="I238" s="9">
        <v>0</v>
      </c>
      <c r="J238" s="9">
        <v>16</v>
      </c>
      <c r="K238" s="9" t="str">
        <v>קטי+תמרה</v>
      </c>
      <c r="L238" s="9" t="str">
        <v>207.10.2014</v>
      </c>
      <c r="M238" s="9" t="str">
        <v>הייתם</v>
      </c>
      <c r="N238" s="9" t="str">
        <v>שלחנו נייר לבן. הייתם יבדוק .הייתם יחזיר נייר לבן של גושי הרקע עם מכתב הערות .</v>
      </c>
      <c r="O238" s="9">
        <v>0</v>
      </c>
      <c r="P238" s="9">
        <v>0</v>
      </c>
      <c r="Q238" s="9">
        <v>0</v>
      </c>
    </row>
    <row r="239" spans="1:17" ht="24.95" customHeight="1" x14ac:dyDescent="0.2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</row>
    <row r="240" spans="1:17" ht="24.95" customHeight="1" x14ac:dyDescent="0.2">
      <c r="A240" s="9">
        <v>60332</v>
      </c>
      <c r="B240" s="9" t="str">
        <v>אבו גוש יהל מהנדסים</v>
      </c>
      <c r="C240" s="9" t="str">
        <v>29528 29545 29524 29528 29551</v>
      </c>
      <c r="D240" s="9">
        <v>0</v>
      </c>
      <c r="E240" s="9" t="str">
        <v>???</v>
      </c>
      <c r="F240" s="9" t="str">
        <v>ירושלים</v>
      </c>
      <c r="G240" s="9" t="str">
        <v>548-552/2009</v>
      </c>
      <c r="H240" s="9" t="str">
        <v>מחוז</v>
      </c>
      <c r="I240" s="9">
        <v>0</v>
      </c>
      <c r="J240" s="9">
        <v>4</v>
      </c>
      <c r="K240" s="9" t="str">
        <v>קטי+תמרה</v>
      </c>
      <c r="L240" s="9">
        <v>0</v>
      </c>
      <c r="M240" s="9" t="str">
        <v>חגי</v>
      </c>
      <c r="N240" s="9" t="str">
        <v>חגי יודיע מה חסר .איציק מיכה לאישורי ועדה חדשים
בהמתנה עד לאישור ועדה החדש</v>
      </c>
      <c r="O240" s="9">
        <v>0</v>
      </c>
      <c r="P240" s="9">
        <v>0</v>
      </c>
      <c r="Q240" s="9">
        <v>0</v>
      </c>
    </row>
    <row r="241" spans="1:17" ht="24.95" customHeight="1" x14ac:dyDescent="0.2">
      <c r="A241" s="9">
        <v>50489</v>
      </c>
      <c r="B241" s="9" t="str">
        <v xml:space="preserve">אבו גוש קשת ע"פ תבע  הל/מח/567 </v>
      </c>
      <c r="C241" s="9" t="str">
        <v>29545 , 29540 , 31398</v>
      </c>
      <c r="D241" s="9">
        <v>0</v>
      </c>
      <c r="E241" s="9" t="str">
        <v>0996-14-04-01</v>
      </c>
      <c r="F241" s="9" t="str">
        <v>ירושלים</v>
      </c>
      <c r="G241" s="9" t="str">
        <v>1606-1608/2014</v>
      </c>
      <c r="H241" s="9" t="str">
        <v>מחוז</v>
      </c>
      <c r="I241" s="9">
        <v>0</v>
      </c>
      <c r="J241" s="9">
        <v>3</v>
      </c>
      <c r="K241" s="9" t="str">
        <v>אירה</v>
      </c>
      <c r="L241" s="9" t="str">
        <v>10.11.2014</v>
      </c>
      <c r="M241" s="9" t="str">
        <v>חגי לייבושור</v>
      </c>
      <c r="N241" s="9" t="str">
        <v xml:space="preserve">שלחנו את תיק החישובים בתאריך </v>
      </c>
      <c r="O241" s="9">
        <v>0</v>
      </c>
      <c r="P241" s="9">
        <v>0</v>
      </c>
      <c r="Q241" s="9">
        <v>0</v>
      </c>
    </row>
    <row r="242" spans="1:17" ht="24.95" customHeight="1" x14ac:dyDescent="0.2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</row>
    <row r="243" spans="1:17" ht="24.95" customHeight="1" x14ac:dyDescent="0.2">
      <c r="A243" s="9">
        <v>20294</v>
      </c>
      <c r="B243" s="9" t="str">
        <v>תל אביב מתחם בית אל אחי רורמן</v>
      </c>
      <c r="C243" s="9" t="str">
        <v>7321</v>
      </c>
      <c r="D243" s="9" t="str">
        <v>40,49-52,54-58</v>
      </c>
      <c r="E243" s="9" t="str">
        <v>275-14-03-01</v>
      </c>
      <c r="F243" s="9" t="str">
        <v>לינקולן</v>
      </c>
      <c r="G243" s="9" t="str">
        <v>481/2014</v>
      </c>
      <c r="H243" s="9" t="str">
        <v>מחוז</v>
      </c>
      <c r="I243" s="9">
        <v>0</v>
      </c>
      <c r="J243" s="9">
        <v>1</v>
      </c>
      <c r="K243" s="9" t="str">
        <v>תמרה</v>
      </c>
      <c r="L243" s="9" t="str">
        <v>26.3.2014</v>
      </c>
      <c r="M243" s="9" t="str">
        <v>אירנה איטקיס</v>
      </c>
      <c r="N243" s="9" t="str">
        <v>הקבצים אושרו.חסר נסחי רישום ומכתב בקשה שלא לסמן בשדה .</v>
      </c>
      <c r="O243" s="9">
        <v>0</v>
      </c>
      <c r="P243" s="9">
        <v>0</v>
      </c>
      <c r="Q243" s="9">
        <v>0</v>
      </c>
    </row>
    <row r="244" spans="1:17" ht="24.95" customHeight="1" x14ac:dyDescent="0.2">
      <c r="A244" s="9">
        <v>130385</v>
      </c>
      <c r="B244" s="9" t="str">
        <v>גן יאשיה מתחם יכון</v>
      </c>
      <c r="C244" s="9" t="str">
        <v>8565</v>
      </c>
      <c r="D244" s="9" t="str">
        <v>3-9 , 11</v>
      </c>
      <c r="E244" s="9" t="str">
        <v>0519-14-03-01</v>
      </c>
      <c r="F244" s="9" t="str">
        <v>לינקולן</v>
      </c>
      <c r="G244" s="9" t="str">
        <v>826/2014</v>
      </c>
      <c r="H244" s="9" t="str">
        <v>מחוז</v>
      </c>
      <c r="I244" s="9">
        <v>0</v>
      </c>
      <c r="J244" s="9">
        <v>1</v>
      </c>
      <c r="K244" s="9" t="str">
        <v>אירה</v>
      </c>
      <c r="L244" s="9" t="str">
        <v>6.11.2014</v>
      </c>
      <c r="M244" s="9" t="str">
        <v>מיכאל וינשטיין</v>
      </c>
      <c r="N244" s="9" t="str">
        <v>שלחנו תיק חישובים מלא</v>
      </c>
      <c r="O244" s="9">
        <v>0</v>
      </c>
      <c r="P244" s="9">
        <v>0</v>
      </c>
      <c r="Q244" s="9">
        <v>0</v>
      </c>
    </row>
    <row r="245" spans="1:17" ht="24.95" customHeight="1" x14ac:dyDescent="0.2">
      <c r="A245" s="9">
        <v>130075</v>
      </c>
      <c r="B245" s="9" t="str">
        <v>כרמי יוסף 4103-88</v>
      </c>
      <c r="C245" s="9" t="str">
        <v>4103</v>
      </c>
      <c r="D245" s="9" t="str">
        <v>88</v>
      </c>
      <c r="E245" s="9" t="str">
        <v>0810-14-03-01</v>
      </c>
      <c r="F245" s="9" t="str">
        <v>לינקולן</v>
      </c>
      <c r="G245" s="9" t="str">
        <v>1302/2014</v>
      </c>
      <c r="H245" s="9" t="str">
        <v>מחוז</v>
      </c>
      <c r="I245" s="9">
        <v>0</v>
      </c>
      <c r="J245" s="9">
        <v>1</v>
      </c>
      <c r="K245" s="9" t="str">
        <v>אירה</v>
      </c>
      <c r="L245" s="9" t="str">
        <v>23.10.2014</v>
      </c>
      <c r="M245" s="9" t="str">
        <v>מיכאל וינשטיין</v>
      </c>
      <c r="N245" s="9">
        <v>0</v>
      </c>
      <c r="O245" s="9">
        <v>0</v>
      </c>
      <c r="P245" s="9">
        <v>0</v>
      </c>
      <c r="Q245" s="9">
        <v>0</v>
      </c>
    </row>
    <row r="246" spans="1:17" ht="24.95" customHeight="1" x14ac:dyDescent="0.2">
      <c r="A246" s="9">
        <v>120528</v>
      </c>
      <c r="B246" s="9" t="str">
        <v>כפר שמריהו תצר החבצלת גוש 6674</v>
      </c>
      <c r="C246" s="9" t="str">
        <v>6674</v>
      </c>
      <c r="D246" s="9">
        <v>0</v>
      </c>
      <c r="E246" s="9" t="str">
        <v>1003-13-03-01</v>
      </c>
      <c r="F246" s="9" t="str">
        <v>לינקולן</v>
      </c>
      <c r="G246" s="9" t="str">
        <v>1621/2013</v>
      </c>
      <c r="H246" s="9" t="str">
        <v>כשר לרישום</v>
      </c>
      <c r="I246" s="9" t="str">
        <v>V</v>
      </c>
      <c r="J246" s="9">
        <v>1</v>
      </c>
      <c r="K246" s="9" t="str">
        <v>תמרה</v>
      </c>
      <c r="L246" s="9" t="str">
        <v>30.4.2014</v>
      </c>
      <c r="M246" s="9" t="str">
        <v>מיכאל וינשטיין</v>
      </c>
      <c r="N246" s="9" t="str">
        <v>אישרו את קבלת הקבצים . שלחנו שוב תיק חישובים .טלי שמחה צריכה לשלוח בדחיפות מסמכים לפתיחת תיק ביקורת + צק מקדמה על סך 2000  ש"ח לפקודת המרכז למיפוי ישראל .ביקשו מדידה קרקעית וסימון . שלחנו מיילרים</v>
      </c>
      <c r="O246" s="9">
        <v>0</v>
      </c>
      <c r="P246" s="9" t="str">
        <v>התכנית כשרה לרישום</v>
      </c>
      <c r="Q246" s="9">
        <v>0</v>
      </c>
    </row>
    <row r="247" spans="1:17" ht="24.95" customHeight="1" x14ac:dyDescent="0.2">
      <c r="A247" s="9">
        <v>130105</v>
      </c>
      <c r="B247" s="9" t="str">
        <v>גני תקוה תצר לתבע ממ5162 גוש 6717 ח 22 23</v>
      </c>
      <c r="C247" s="9" t="str">
        <v>6717</v>
      </c>
      <c r="D247" s="9" t="str">
        <v>22 , 23</v>
      </c>
      <c r="E247" s="9" t="str">
        <v>0570-14-03-01</v>
      </c>
      <c r="F247" s="9" t="str">
        <v>לינקולן</v>
      </c>
      <c r="G247" s="9" t="str">
        <v>904/2014</v>
      </c>
      <c r="H247" s="9" t="str">
        <v>כשר לרישום</v>
      </c>
      <c r="I247" s="9" t="str">
        <v>V</v>
      </c>
      <c r="J247" s="9">
        <v>1</v>
      </c>
      <c r="K247" s="9" t="str">
        <v>תמרה</v>
      </c>
      <c r="L247" s="9" t="str">
        <v>12.6.2014</v>
      </c>
      <c r="M247" s="9" t="str">
        <v xml:space="preserve">זלמה רובנוב </v>
      </c>
      <c r="N247" s="9" t="str">
        <v>מסרנו מיילר</v>
      </c>
      <c r="O247" s="9">
        <v>0</v>
      </c>
      <c r="P247" s="9" t="str">
        <v>התכנית כשרה לרישום</v>
      </c>
      <c r="Q247" s="9">
        <v>0</v>
      </c>
    </row>
    <row r="248" spans="1:17" ht="24.95" customHeight="1" x14ac:dyDescent="0.2">
      <c r="A248" s="9">
        <v>120708</v>
      </c>
      <c r="B248" s="9" t="str">
        <v>כביש 1 קטע נתבג לוד מעצ</v>
      </c>
      <c r="C248" s="9" t="str">
        <v>שונים</v>
      </c>
      <c r="D248" s="9">
        <v>0</v>
      </c>
      <c r="E248" s="9" t="str">
        <v>1075-14-03-01</v>
      </c>
      <c r="F248" s="9" t="str">
        <v>לינקולן</v>
      </c>
      <c r="G248" s="9" t="str">
        <v>1723-1728/2014</v>
      </c>
      <c r="H248" s="9" t="str">
        <v>מחוז</v>
      </c>
      <c r="I248" s="9">
        <v>0</v>
      </c>
      <c r="J248" s="9">
        <v>6</v>
      </c>
      <c r="K248" s="9" t="str">
        <v>תמרה</v>
      </c>
      <c r="L248" s="9" t="str">
        <v>20.11.2014</v>
      </c>
      <c r="M248" s="9" t="str">
        <v>מיכאל וינשטיין</v>
      </c>
      <c r="N248" s="9">
        <v>0</v>
      </c>
      <c r="O248" s="9">
        <v>0</v>
      </c>
      <c r="P248" s="9">
        <v>0</v>
      </c>
      <c r="Q248" s="9">
        <v>0</v>
      </c>
    </row>
    <row r="249" spans="1:17" ht="24.95" customHeight="1" x14ac:dyDescent="0.2">
      <c r="A249" s="9">
        <v>140158</v>
      </c>
      <c r="B249" s="9" t="str">
        <v>יסודות גוש 3915  חלקה 351 תצר ורישום</v>
      </c>
      <c r="C249" s="9" t="str">
        <v>3915</v>
      </c>
      <c r="D249" s="9" t="str">
        <v>351</v>
      </c>
      <c r="E249" s="9" t="str">
        <v>929-14-03-01</v>
      </c>
      <c r="F249" s="9" t="str">
        <v>לינקולן</v>
      </c>
      <c r="G249" s="9" t="str">
        <v>1505/2014</v>
      </c>
      <c r="H249" s="9" t="str">
        <v>מחוז</v>
      </c>
      <c r="I249" s="9">
        <v>0</v>
      </c>
      <c r="J249" s="9">
        <v>1</v>
      </c>
      <c r="K249" s="9" t="str">
        <v>יוליה</v>
      </c>
      <c r="L249" s="9" t="str">
        <v>23.10.2014</v>
      </c>
      <c r="M249" s="9" t="str">
        <v>זלמה רובנוב</v>
      </c>
      <c r="N249" s="9" t="str">
        <v>אירנה ביקשה תיקונים 27.11.2014</v>
      </c>
      <c r="O249" s="9">
        <v>0</v>
      </c>
      <c r="P249" s="9">
        <v>0</v>
      </c>
      <c r="Q249" s="9">
        <v>0</v>
      </c>
    </row>
    <row r="250" spans="1:17" ht="24.95" customHeight="1" x14ac:dyDescent="0.2">
      <c r="A250" s="9">
        <v>120795</v>
      </c>
      <c r="B250" s="9" t="str">
        <v>תל אביב כיתן סנטר</v>
      </c>
      <c r="C250" s="9" t="str">
        <v>6625</v>
      </c>
      <c r="D250" s="9" t="str">
        <v>שונות</v>
      </c>
      <c r="E250" s="9" t="str">
        <v>0566-14-03-01</v>
      </c>
      <c r="F250" s="9" t="str">
        <v>לינקולן</v>
      </c>
      <c r="G250" s="9" t="str">
        <v>882/2014</v>
      </c>
      <c r="H250" s="9" t="str">
        <v>מחוז</v>
      </c>
      <c r="I250" s="9">
        <v>0</v>
      </c>
      <c r="J250" s="9" t="str">
        <v>1</v>
      </c>
      <c r="K250" s="9" t="str">
        <v>נטלי</v>
      </c>
      <c r="L250" s="9" t="str">
        <v>27.7.2014</v>
      </c>
      <c r="M250" s="9" t="str">
        <v>מיכאל וינשטיין</v>
      </c>
      <c r="N250" s="9" t="str">
        <v>להיפגש עם אירנה איטקיס . סופקו בקשותיה .</v>
      </c>
      <c r="O250" s="9">
        <v>0</v>
      </c>
      <c r="P250" s="9" t="str">
        <v>בהמתנה לביקורת</v>
      </c>
      <c r="Q250" s="9">
        <v>0</v>
      </c>
    </row>
    <row r="251" spans="1:17" ht="24.95" customHeight="1" x14ac:dyDescent="0.2">
      <c r="A251" s="9">
        <v>130564</v>
      </c>
      <c r="B251" s="9" t="str">
        <v>רמת השרון יוספטל רש-מק-1093</v>
      </c>
      <c r="C251" s="9" t="str">
        <v>6550</v>
      </c>
      <c r="D251" s="9" t="str">
        <v>182 , 227 , 228 , .....</v>
      </c>
      <c r="E251" s="9" t="str">
        <v>0573-14-03-01</v>
      </c>
      <c r="F251" s="9" t="str">
        <v>לינקולן</v>
      </c>
      <c r="G251" s="9" t="str">
        <v>907/2014</v>
      </c>
      <c r="H251" s="9" t="str">
        <v>מחוז</v>
      </c>
      <c r="I251" s="9">
        <v>0</v>
      </c>
      <c r="J251" s="9">
        <v>1</v>
      </c>
      <c r="K251" s="9" t="str">
        <v>נטלי</v>
      </c>
      <c r="L251" s="9" t="str">
        <v>11.8.2014</v>
      </c>
      <c r="M251" s="9" t="str">
        <v>זינה פייקין</v>
      </c>
      <c r="N251" s="9" t="str">
        <v xml:space="preserve">שלחנו היום  10.8.2014   צק חדש . </v>
      </c>
      <c r="O251" s="9">
        <v>0</v>
      </c>
      <c r="P251" s="9" t="str">
        <v>בהמתנה לביקורת</v>
      </c>
      <c r="Q251" s="9">
        <v>0</v>
      </c>
    </row>
    <row r="252" spans="1:17" ht="24.95" customHeight="1" x14ac:dyDescent="0.2">
      <c r="A252" s="9">
        <v>120483</v>
      </c>
      <c r="B252" s="9" t="str">
        <v>בית חרות אם הדרך</v>
      </c>
      <c r="C252" s="9" t="str">
        <v>8338</v>
      </c>
      <c r="D252" s="9" t="str">
        <v>101,103</v>
      </c>
      <c r="E252" s="9" t="str">
        <v>0500-14-03-01</v>
      </c>
      <c r="F252" s="9" t="str">
        <v>לינקולן</v>
      </c>
      <c r="G252" s="9" t="str">
        <v>805/2014</v>
      </c>
      <c r="H252" s="9" t="str">
        <v>מחוז</v>
      </c>
      <c r="I252" s="9">
        <v>0</v>
      </c>
      <c r="J252" s="9">
        <v>1</v>
      </c>
      <c r="K252" s="9" t="str">
        <v>נטלי</v>
      </c>
      <c r="L252" s="9" t="str">
        <v>1.7.2014</v>
      </c>
      <c r="M252" s="9" t="str">
        <v>מיכאל וינשטיין</v>
      </c>
      <c r="N252" s="9" t="str">
        <v>להיפגש עם אירנה איטקיס . נפגשתי וסיפקנו מה שביקשה.</v>
      </c>
      <c r="O252" s="9">
        <v>0</v>
      </c>
      <c r="P252" s="9" t="str">
        <v>בהמתנה לביקורת</v>
      </c>
      <c r="Q252" s="9">
        <v>0</v>
      </c>
    </row>
    <row r="253" spans="1:17" ht="24.95" customHeight="1" x14ac:dyDescent="0.2">
      <c r="A253" s="9">
        <v>120710</v>
      </c>
      <c r="B253" s="9" t="str">
        <v>מעצ  כביש 5  מחלף 411 מחלף קסם</v>
      </c>
      <c r="C253" s="9" t="str">
        <v>שונים</v>
      </c>
      <c r="D253" s="9">
        <v>0</v>
      </c>
      <c r="E253" s="9" t="str">
        <v>1101-13-03-01</v>
      </c>
      <c r="F253" s="9" t="str">
        <v>לינקולן</v>
      </c>
      <c r="G253" s="9" t="str">
        <v>1806-1812/2013</v>
      </c>
      <c r="H253" s="9" t="str">
        <v>מחוז</v>
      </c>
      <c r="I253" s="9">
        <v>0</v>
      </c>
      <c r="J253" s="9">
        <v>7</v>
      </c>
      <c r="K253" s="9" t="str">
        <v>נטלי</v>
      </c>
      <c r="L253" s="9" t="str">
        <v>30.10.2014</v>
      </c>
      <c r="M253" s="9" t="str">
        <v>מיכאל וינשטיין</v>
      </c>
      <c r="N253" s="9" t="str">
        <v xml:space="preserve">נמסור את תצהיר ויקוור מוקי למפ"י </v>
      </c>
      <c r="O253" s="9">
        <v>0</v>
      </c>
      <c r="P253" s="9">
        <v>0</v>
      </c>
      <c r="Q253" s="9">
        <v>0</v>
      </c>
    </row>
    <row r="254" spans="1:17" ht="24.95" customHeight="1" x14ac:dyDescent="0.2">
      <c r="A254" s="9">
        <v>90725</v>
      </c>
      <c r="B254" s="9" t="str">
        <v xml:space="preserve">באר יעקב תב"ע ממ/4/1517 </v>
      </c>
      <c r="C254" s="9" t="str">
        <v>3784 3785 4245 4041</v>
      </c>
      <c r="D254" s="9" t="str">
        <v>שונות</v>
      </c>
      <c r="E254" s="9" t="str">
        <v>1051-13-03-01</v>
      </c>
      <c r="F254" s="9" t="str">
        <v>לינקולן</v>
      </c>
      <c r="G254" s="9" t="str">
        <v>1717-1721-2013</v>
      </c>
      <c r="H254" s="9" t="str">
        <v>כשר לרישום</v>
      </c>
      <c r="I254" s="9">
        <v>0</v>
      </c>
      <c r="J254" s="9">
        <v>5</v>
      </c>
      <c r="K254" s="9" t="str">
        <v>אירה</v>
      </c>
      <c r="L254" s="9" t="str">
        <v>1.6.2014</v>
      </c>
      <c r="M254" s="9" t="str">
        <v>מיכאל וינשטיין</v>
      </c>
      <c r="N254" s="9" t="str">
        <v>סיפקנו מיילרים</v>
      </c>
      <c r="O254" s="9">
        <v>0</v>
      </c>
      <c r="P254" s="9" t="str">
        <v>העבודה בתיקונים</v>
      </c>
      <c r="Q254" s="9">
        <v>0</v>
      </c>
    </row>
    <row r="255" spans="1:17" ht="24.95" customHeight="1" x14ac:dyDescent="0.2">
      <c r="A255" s="9">
        <v>110010</v>
      </c>
      <c r="B255" s="9" t="str">
        <v>משבצת פארן</v>
      </c>
      <c r="C255" s="9" t="str">
        <v xml:space="preserve"> ....39082 39083</v>
      </c>
      <c r="D255" s="9">
        <v>0</v>
      </c>
      <c r="E255" s="9" t="str">
        <v>0923-13-05-03</v>
      </c>
      <c r="F255" s="9" t="str">
        <v>לינקולן</v>
      </c>
      <c r="G255" s="9" t="str">
        <v>354-359/2014</v>
      </c>
      <c r="H255" s="9" t="str">
        <v>מחוז</v>
      </c>
      <c r="I255" s="9">
        <v>0</v>
      </c>
      <c r="J255" s="9">
        <v>6</v>
      </c>
      <c r="K255" s="9" t="str">
        <v>תמרה</v>
      </c>
      <c r="L255" s="9" t="str">
        <v>2.3.2014</v>
      </c>
      <c r="M255" s="9" t="str">
        <v>אידה</v>
      </c>
      <c r="N255" s="9" t="str">
        <v>שלחנו קבצים לאבי שוסטרוב וגם לברוניה קושניר</v>
      </c>
      <c r="O255" s="9">
        <v>0</v>
      </c>
      <c r="P255" s="9" t="str">
        <v>יש תביעה.בינתיים לא בודקים את התכניות.</v>
      </c>
      <c r="Q255" s="9">
        <v>0</v>
      </c>
    </row>
    <row r="256" spans="1:17" ht="24.95" customHeight="1" x14ac:dyDescent="0.2">
      <c r="A256" s="9">
        <v>20367</v>
      </c>
      <c r="B256" s="9" t="str">
        <v>נצרת הר הקפיצה</v>
      </c>
      <c r="C256" s="9" t="str">
        <v>16558,16557</v>
      </c>
      <c r="D256" s="9">
        <v>0</v>
      </c>
      <c r="E256" s="9">
        <v>0</v>
      </c>
      <c r="F256" s="9" t="str">
        <v>חיפה</v>
      </c>
      <c r="G256" s="9" t="str">
        <v>7-10/2012</v>
      </c>
      <c r="H256" s="9" t="str">
        <v>כשר לרישום</v>
      </c>
      <c r="I256" s="9" t="str">
        <v>V</v>
      </c>
      <c r="J256" s="9">
        <v>4</v>
      </c>
      <c r="K256" s="9" t="str">
        <v>קטי+תמרה</v>
      </c>
      <c r="L256" s="9">
        <v>0</v>
      </c>
      <c r="M256" s="9" t="str">
        <v>אורי לינסקיל</v>
      </c>
      <c r="N256" s="9" t="str">
        <v>שלחנו שני מכתבים .
לעדכן מצבית -בוצע . להכין שטיח קדסטרי חדש 
על סמך חיפוש בשדה ודוחות הזזה חדשים - בוצע .ביקשו מיילרים</v>
      </c>
      <c r="O256" s="9">
        <v>0</v>
      </c>
      <c r="P256" s="9">
        <v>0</v>
      </c>
      <c r="Q256" s="9">
        <v>0</v>
      </c>
    </row>
    <row r="257" spans="1:17" ht="24.95" customHeight="1" x14ac:dyDescent="0.2">
      <c r="A257" s="9">
        <v>90563</v>
      </c>
      <c r="B257" s="9" t="str">
        <v xml:space="preserve">חדרה חד 1300 </v>
      </c>
      <c r="C257" s="9" t="str">
        <v>10008,10571 ונוספים</v>
      </c>
      <c r="D257" s="9">
        <v>0</v>
      </c>
      <c r="E257" s="9">
        <v>0</v>
      </c>
      <c r="F257" s="9" t="str">
        <v>חיפה</v>
      </c>
      <c r="G257" s="9" t="str">
        <v>790/2012 – 775</v>
      </c>
      <c r="H257" s="9" t="str">
        <v>כשר לרישום</v>
      </c>
      <c r="I257" s="9" t="str">
        <v>V</v>
      </c>
      <c r="J257" s="9">
        <v>16</v>
      </c>
      <c r="K257" s="9" t="str">
        <v>תמרה</v>
      </c>
      <c r="L257" s="9">
        <v>0</v>
      </c>
      <c r="M257" s="9" t="str">
        <v>נינה אונגר</v>
      </c>
      <c r="N257" s="9" t="str">
        <v>הבדיקה בעיצומה</v>
      </c>
      <c r="O257" s="9">
        <v>0</v>
      </c>
      <c r="P257" s="9">
        <v>0</v>
      </c>
      <c r="Q257" s="9">
        <v>0</v>
      </c>
    </row>
    <row r="258" spans="1:17" ht="24.95" customHeight="1" x14ac:dyDescent="0.2">
      <c r="A258" s="9">
        <v>60500</v>
      </c>
      <c r="B258" s="9" t="str">
        <v>נוה אילן הרחבה צפונית</v>
      </c>
      <c r="C258" s="9" t="str">
        <v>29542 , 29543 , 31330</v>
      </c>
      <c r="D258" s="9">
        <v>0</v>
      </c>
      <c r="E258" s="9" t="str">
        <v>0341-14-04-01</v>
      </c>
      <c r="F258" s="9" t="str">
        <v>לינקולן</v>
      </c>
      <c r="G258" s="9" t="str">
        <v>579-581/2014</v>
      </c>
      <c r="H258" s="9" t="str">
        <v>מחוז</v>
      </c>
      <c r="I258" s="9">
        <v>0</v>
      </c>
      <c r="J258" s="9">
        <v>3</v>
      </c>
      <c r="K258" s="9" t="str">
        <v>תמרה</v>
      </c>
      <c r="L258" s="9" t="str">
        <v>26.5.2014</v>
      </c>
      <c r="M258" s="9" t="str">
        <v>ורדה סובול</v>
      </c>
      <c r="N258" s="9" t="str">
        <v>שלחנו קבצים לשוסטרוב . שלחנו תיק חישובים לחגי</v>
      </c>
      <c r="O258" s="9">
        <v>0</v>
      </c>
      <c r="P258" s="9">
        <v>0</v>
      </c>
      <c r="Q258" s="9">
        <v>0</v>
      </c>
    </row>
    <row r="259" spans="1:17" ht="24.95" customHeight="1" x14ac:dyDescent="0.2">
      <c r="A259" s="9">
        <v>50387</v>
      </c>
      <c r="B259" s="9" t="str">
        <v>נוה אילן שיוך דירות</v>
      </c>
      <c r="C259" s="9" t="str">
        <v>29542 29543 29697 …..</v>
      </c>
      <c r="D259" s="9">
        <v>0</v>
      </c>
      <c r="E259" s="9" t="str">
        <v>622-10-04-01</v>
      </c>
      <c r="F259" s="9" t="str">
        <v>ירושלים</v>
      </c>
      <c r="G259" s="9" t="str">
        <v>742-747/10</v>
      </c>
      <c r="H259" s="9" t="str">
        <v>כשר לרישום</v>
      </c>
      <c r="I259" s="9" t="str">
        <v>V</v>
      </c>
      <c r="J259" s="9">
        <v>6</v>
      </c>
      <c r="K259" s="9" t="str">
        <v>תמרה</v>
      </c>
      <c r="L259" s="9">
        <v>0</v>
      </c>
      <c r="M259" s="9" t="str">
        <v>חגי</v>
      </c>
      <c r="N259" s="9" t="str">
        <v>להוסיף סוג סימן, לסכם מה מסמנים בשדה - סימנו בשדה - מסרנו מיילרים . מצאו ויבדקו במחוז .</v>
      </c>
      <c r="O259" s="9">
        <v>0</v>
      </c>
      <c r="P259" s="9">
        <v>0</v>
      </c>
      <c r="Q259" s="9">
        <v>0</v>
      </c>
    </row>
    <row r="260" spans="1:17" ht="24.95" customHeight="1" x14ac:dyDescent="0.2">
      <c r="A260" s="9">
        <v>70582</v>
      </c>
      <c r="B260" s="9" t="str">
        <v>שורש שיוך דירות</v>
      </c>
      <c r="C260" s="9">
        <v>0</v>
      </c>
      <c r="D260" s="9">
        <v>0</v>
      </c>
      <c r="E260" s="9">
        <v>0</v>
      </c>
      <c r="F260" s="9" t="str">
        <v>ירושלים</v>
      </c>
      <c r="G260" s="9" t="str">
        <v>773-777/10</v>
      </c>
      <c r="H260" s="9" t="str">
        <v>כשר לרישום</v>
      </c>
      <c r="I260" s="9" t="str">
        <v>V</v>
      </c>
      <c r="J260" s="9">
        <v>5</v>
      </c>
      <c r="K260" s="9" t="str">
        <v>תמרה</v>
      </c>
      <c r="L260" s="9">
        <v>0</v>
      </c>
      <c r="M260" s="9" t="str">
        <v xml:space="preserve">מיכאל מסר :  ורה חתמה </v>
      </c>
      <c r="N260" s="9" t="str">
        <v>סימנו גם בצפון ושלחנו, חגי העביר ללינקולן</v>
      </c>
      <c r="O260" s="9">
        <v>0</v>
      </c>
      <c r="P260" s="9">
        <v>0</v>
      </c>
      <c r="Q260" s="9">
        <v>0</v>
      </c>
    </row>
    <row r="261" spans="1:17" ht="24.95" customHeight="1" x14ac:dyDescent="0.2">
      <c r="A261" s="9">
        <v>80705</v>
      </c>
      <c r="B261" s="9" t="str">
        <v>ירושלים קוסטריקה תבע 5350</v>
      </c>
      <c r="C261" s="9" t="str">
        <v>30427 30439 30423 30428</v>
      </c>
      <c r="D261" s="9">
        <v>0</v>
      </c>
      <c r="E261" s="9">
        <v>0</v>
      </c>
      <c r="F261" s="9" t="str">
        <v>ירושלים</v>
      </c>
      <c r="G261" s="9" t="str">
        <v>160-163/2010</v>
      </c>
      <c r="H261" s="9" t="str">
        <v>כשר לרישום</v>
      </c>
      <c r="I261" s="9" t="str">
        <v>V</v>
      </c>
      <c r="J261" s="9">
        <v>4</v>
      </c>
      <c r="K261" s="9" t="str">
        <v>תמרה</v>
      </c>
      <c r="L261" s="9">
        <v>0</v>
      </c>
      <c r="M261" s="9" t="str">
        <v>רונית</v>
      </c>
      <c r="N261" s="9" t="str">
        <v>מסרנו מיילרים , שלחו לפע"מ</v>
      </c>
      <c r="O261" s="9">
        <v>0</v>
      </c>
      <c r="P261" s="9">
        <v>0</v>
      </c>
      <c r="Q261" s="9">
        <v>0</v>
      </c>
    </row>
    <row r="262" spans="1:17" ht="24.95" customHeight="1" x14ac:dyDescent="0.2">
      <c r="A262" s="9">
        <v>100091</v>
      </c>
      <c r="B262" s="9" t="str">
        <v>גן יבנה 102 קניון ח' 50 בגוש 2767</v>
      </c>
      <c r="C262" s="9" t="str">
        <v>2767</v>
      </c>
      <c r="D262" s="9" t="str">
        <v>50</v>
      </c>
      <c r="E262" s="9" t="str">
        <v>1032-10-03-01</v>
      </c>
      <c r="F262" s="9" t="str">
        <v>תל אביב</v>
      </c>
      <c r="G262" s="9" t="str">
        <v>1330/2010</v>
      </c>
      <c r="H262" s="9" t="str">
        <v>כשר לרישום</v>
      </c>
      <c r="I262" s="9" t="str">
        <v>V</v>
      </c>
      <c r="J262" s="9">
        <v>1</v>
      </c>
      <c r="K262" s="9" t="str">
        <v>נטלי</v>
      </c>
      <c r="L262" s="9">
        <v>0</v>
      </c>
      <c r="M262" s="9">
        <v>0</v>
      </c>
      <c r="N262" s="9" t="str">
        <v>שלחנו נייר לבן</v>
      </c>
      <c r="O262" s="9">
        <v>0</v>
      </c>
      <c r="P262" s="9">
        <v>0</v>
      </c>
      <c r="Q262" s="9">
        <v>0</v>
      </c>
    </row>
    <row r="263" spans="1:17" ht="24.95" customHeight="1" x14ac:dyDescent="0.2">
      <c r="A263" s="9">
        <v>100407</v>
      </c>
      <c r="B263" s="9" t="str">
        <v>ירושלים פסגת זאב  הבינונית יתרת תב"ע 7928</v>
      </c>
      <c r="C263" s="9" t="str">
        <v xml:space="preserve">30587 , 31304 , </v>
      </c>
      <c r="D263" s="9">
        <v>0</v>
      </c>
      <c r="E263" s="9">
        <v>0</v>
      </c>
      <c r="F263" s="9" t="str">
        <v>ירושלים</v>
      </c>
      <c r="G263" s="9" t="str">
        <v>450-452/2011</v>
      </c>
      <c r="H263" s="9" t="str">
        <v>כשר לרישום</v>
      </c>
      <c r="I263" s="9" t="str">
        <v>V</v>
      </c>
      <c r="J263" s="9">
        <v>3</v>
      </c>
      <c r="K263" s="9" t="str">
        <v>נטלי</v>
      </c>
      <c r="L263" s="9">
        <v>0</v>
      </c>
      <c r="M263" s="9">
        <v>0</v>
      </c>
      <c r="N263" s="9" t="str">
        <v>מסרנו נייר לבן , שוקה אישר שאין צורך בסימון נוסף בשדה</v>
      </c>
      <c r="O263" s="9">
        <v>0</v>
      </c>
      <c r="P263" s="9">
        <v>0</v>
      </c>
      <c r="Q263" s="9">
        <v>0</v>
      </c>
    </row>
    <row r="264" spans="1:17" ht="24.95" customHeight="1" x14ac:dyDescent="0.2">
      <c r="A264" s="9">
        <v>80637</v>
      </c>
      <c r="B264" s="9" t="str">
        <v>פסגת זאב דרום חלוקה יוצאת</v>
      </c>
      <c r="C264" s="9" t="str">
        <v>30688 , 30689 , 30690</v>
      </c>
      <c r="D264" s="9">
        <v>0</v>
      </c>
      <c r="E264" s="9">
        <v>0</v>
      </c>
      <c r="F264" s="9" t="str">
        <v>ירושלים</v>
      </c>
      <c r="G264" s="9" t="str">
        <v>1143-1145/2011</v>
      </c>
      <c r="H264" s="9" t="str">
        <v>כשר לרישום</v>
      </c>
      <c r="I264" s="9" t="str">
        <v>V</v>
      </c>
      <c r="J264" s="9">
        <v>3</v>
      </c>
      <c r="K264" s="9" t="str">
        <v>נטלי</v>
      </c>
      <c r="L264" s="9">
        <v>0</v>
      </c>
      <c r="M264" s="9" t="str">
        <v xml:space="preserve">מסרנו מיילרים למחלקת פע"מ </v>
      </c>
      <c r="N264" s="9" t="str">
        <v>כרמלי המליץ לורה לבן לאשר ככשר לרישום</v>
      </c>
      <c r="O264" s="9">
        <v>0</v>
      </c>
      <c r="P264" s="9">
        <v>0</v>
      </c>
      <c r="Q264" s="9">
        <v>0</v>
      </c>
    </row>
    <row r="265" spans="1:17" ht="24.95" customHeight="1" x14ac:dyDescent="0.2">
      <c r="A265" s="9">
        <v>100216</v>
      </c>
      <c r="B265" s="9" t="str">
        <v>קניון פסגת זאב</v>
      </c>
      <c r="C265" s="9" t="str">
        <v>30613/36 , 31307/5</v>
      </c>
      <c r="D265" s="9">
        <v>0</v>
      </c>
      <c r="E265" s="9" t="str">
        <v>21976</v>
      </c>
      <c r="F265" s="9" t="str">
        <v>ירושלים</v>
      </c>
      <c r="G265" s="9" t="str">
        <v>173-174/2012</v>
      </c>
      <c r="H265" s="9" t="str">
        <v>כשר לרישום</v>
      </c>
      <c r="I265" s="9" t="str">
        <v>V</v>
      </c>
      <c r="J265" s="9">
        <v>2</v>
      </c>
      <c r="K265" s="9" t="str">
        <v>קטי</v>
      </c>
      <c r="L265" s="9">
        <v>0</v>
      </c>
      <c r="M265" s="9" t="str">
        <v>חגי</v>
      </c>
      <c r="N265" s="9" t="str">
        <v>סימנו בשדה ומסרנו נייר לבן</v>
      </c>
      <c r="O265" s="9">
        <v>0</v>
      </c>
      <c r="P265" s="9">
        <v>0</v>
      </c>
      <c r="Q265" s="9">
        <v>0</v>
      </c>
    </row>
    <row r="266" spans="1:17" ht="24.95" customHeight="1" x14ac:dyDescent="0.2">
      <c r="A266" s="9">
        <v>90409</v>
      </c>
      <c r="B266" s="9" t="str">
        <v>בית שמש בש/122/יח בית יאיר</v>
      </c>
      <c r="C266" s="9" t="str">
        <v>5213</v>
      </c>
      <c r="D266" s="9" t="str">
        <v>19,21,22,24-27,31,85,155,168</v>
      </c>
      <c r="E266" s="9" t="str">
        <v>0685-12-04-01</v>
      </c>
      <c r="F266" s="9" t="str">
        <v>ירושלים</v>
      </c>
      <c r="G266" s="9" t="str">
        <v>1043-2012</v>
      </c>
      <c r="H266" s="9" t="str">
        <v>כשר לרישום</v>
      </c>
      <c r="I266" s="9" t="str">
        <v>V</v>
      </c>
      <c r="J266" s="9">
        <v>1</v>
      </c>
      <c r="K266" s="9" t="str">
        <v>תמרה</v>
      </c>
      <c r="L266" s="9">
        <v>0</v>
      </c>
      <c r="M266" s="9" t="str">
        <v>חגי</v>
      </c>
      <c r="N266" s="9" t="str">
        <v>מסרנו מיילרים , שלחו לפע"מ, שלחנו קבצים גירסה נוספת</v>
      </c>
      <c r="O266" s="9">
        <v>0</v>
      </c>
      <c r="P266" s="9">
        <v>0</v>
      </c>
      <c r="Q266" s="9" t="str">
        <v>בטאבו ירושלים</v>
      </c>
    </row>
    <row r="267" spans="1:17" ht="24.95" customHeight="1" x14ac:dyDescent="0.2">
      <c r="A267" s="9">
        <v>90702</v>
      </c>
      <c r="B267" s="9" t="str">
        <v>בית שמש  בש-112 
גוש 5211 ע"ס מ"ע 070473</v>
      </c>
      <c r="C267" s="9" t="str">
        <v>5211</v>
      </c>
      <c r="D267" s="9" t="str">
        <v>74-76,78-81,83-86,88,89,127</v>
      </c>
      <c r="E267" s="9" t="str">
        <v>0664-12-01-01</v>
      </c>
      <c r="F267" s="9" t="str">
        <v>ירושלים</v>
      </c>
      <c r="G267" s="9" t="str">
        <v>1016/2012</v>
      </c>
      <c r="H267" s="9" t="str">
        <v>כשר לרישום</v>
      </c>
      <c r="I267" s="9" t="str">
        <v>V</v>
      </c>
      <c r="J267" s="9">
        <v>1</v>
      </c>
      <c r="K267" s="9" t="str">
        <v>תמרה</v>
      </c>
      <c r="L267" s="9">
        <v>0</v>
      </c>
      <c r="M267" s="9" t="str">
        <v>אניה רוזנברג</v>
      </c>
      <c r="N267" s="9" t="str">
        <v>מסרנו מיילר .</v>
      </c>
      <c r="O267" s="9">
        <v>0</v>
      </c>
      <c r="P267" s="9">
        <v>0</v>
      </c>
      <c r="Q267" s="9">
        <v>0</v>
      </c>
    </row>
    <row r="268" spans="1:17" ht="24.95" customHeight="1" x14ac:dyDescent="0.2">
      <c r="A268" s="9">
        <v>60163</v>
      </c>
      <c r="B268" s="9" t="str">
        <v>פסגת זאב תבע 8151</v>
      </c>
      <c r="C268" s="9" t="str">
        <v>30592 30590</v>
      </c>
      <c r="D268" s="9" t="str">
        <v>שונות</v>
      </c>
      <c r="E268" s="9">
        <v>0</v>
      </c>
      <c r="F268" s="9" t="str">
        <v>ירושלים</v>
      </c>
      <c r="G268" s="9" t="str">
        <v>122-124/2013</v>
      </c>
      <c r="H268" s="9" t="str">
        <v>כשר לרישום</v>
      </c>
      <c r="I268" s="9" t="str">
        <v>V</v>
      </c>
      <c r="J268" s="9">
        <v>3</v>
      </c>
      <c r="K268" s="9" t="str">
        <v>תמרה</v>
      </c>
      <c r="L268" s="9">
        <v>0</v>
      </c>
      <c r="M268" s="9" t="str">
        <v>במגרה</v>
      </c>
      <c r="N268" s="9" t="str">
        <v>שלחנו נייר לבן + מכתב לא לסמן + תמונות מהשטח + מיילרים.שלחו ללינקולן</v>
      </c>
      <c r="O268" s="9">
        <v>0</v>
      </c>
      <c r="P268" s="9">
        <v>0</v>
      </c>
      <c r="Q268" s="9">
        <v>0</v>
      </c>
    </row>
    <row r="269" spans="1:17" ht="24.95" customHeight="1" x14ac:dyDescent="0.2">
      <c r="A269" s="9">
        <v>40623</v>
      </c>
      <c r="B269" s="9" t="str">
        <v>פסגת זאב תבע 11647</v>
      </c>
      <c r="C269" s="9" t="str">
        <v xml:space="preserve">31304 31306 31307 30613 31305 </v>
      </c>
      <c r="D269" s="9" t="str">
        <v>שונות</v>
      </c>
      <c r="E269" s="9" t="str">
        <v>0281-13-04-01</v>
      </c>
      <c r="F269" s="9" t="str">
        <v>ירושלים</v>
      </c>
      <c r="G269" s="9" t="str">
        <v>381-389/2013</v>
      </c>
      <c r="H269" s="9" t="str">
        <v>כשר לרישום</v>
      </c>
      <c r="I269" s="9" t="str">
        <v>V</v>
      </c>
      <c r="J269" s="9">
        <v>9</v>
      </c>
      <c r="K269" s="9" t="str">
        <v>נטלי</v>
      </c>
      <c r="L269" s="9">
        <v>0</v>
      </c>
      <c r="M269" s="9" t="str">
        <v>חגי + קוכי</v>
      </c>
      <c r="N269" s="9" t="str">
        <v>שלחנו לבן + תיק חישובים + צק
עשינו  סימון בשדה . שלחנו שוב . יבדקו במחוז .נטלי פגשה את חגי . שלחנו מיילרים .בעדכן גו"ח מופיע כשר לרישום</v>
      </c>
      <c r="O269" s="9">
        <v>0</v>
      </c>
      <c r="P269" s="9">
        <v>0</v>
      </c>
      <c r="Q269" s="9">
        <v>0</v>
      </c>
    </row>
    <row r="270" spans="1:17" ht="24.95" customHeight="1" x14ac:dyDescent="0.2">
      <c r="A270" s="9">
        <v>110723</v>
      </c>
      <c r="B270" s="9" t="str">
        <v>רוגלית הרחבה תצ"ר מ.מ.י</v>
      </c>
      <c r="C270" s="9" t="str">
        <v>34285  34286</v>
      </c>
      <c r="D270" s="9" t="str">
        <v>שונות</v>
      </c>
      <c r="E270" s="9" t="str">
        <v>367-13-04-01</v>
      </c>
      <c r="F270" s="9" t="str">
        <v>ירושלים</v>
      </c>
      <c r="G270" s="9" t="str">
        <v>514-517/2013</v>
      </c>
      <c r="H270" s="9" t="str">
        <v>כשר לרישום</v>
      </c>
      <c r="I270" s="9" t="str">
        <v>V</v>
      </c>
      <c r="J270" s="9">
        <v>4</v>
      </c>
      <c r="K270" s="9" t="str">
        <v>נטלי</v>
      </c>
      <c r="L270" s="9">
        <v>0</v>
      </c>
      <c r="M270" s="9" t="str">
        <v>רננה כוכי</v>
      </c>
      <c r="N270" s="9" t="str">
        <v>מטפלים בהרשאה התקציבית .רונית שלחה הערות .נפגשתי עם חגי היום 27.8.2013 .שלחנו פרשה מעודכנת . בתאריך 3.9.2013   שלחנו קבצים  עם מספרי אליפסות +פרשה טכנית מעודכנת של רוגלית.חגי אמר שיאשר .מסרנו מיילר דרך איתמר בתאריך 21.8.2014 . יאשרו השבוע 31.8.2014</v>
      </c>
      <c r="O270" s="9">
        <v>0</v>
      </c>
      <c r="P270" s="9">
        <v>0</v>
      </c>
      <c r="Q270" s="9">
        <v>0</v>
      </c>
    </row>
    <row r="271" spans="1:17" ht="24.95" customHeight="1" x14ac:dyDescent="0.2">
      <c r="A271" s="9">
        <v>50073</v>
      </c>
      <c r="B271" s="9" t="str">
        <v>ירושלים מורדות משואה תמ"מ 12032</v>
      </c>
      <c r="C271" s="9" t="str">
        <v>30422 30425 30426 30427 30431 31401 31402</v>
      </c>
      <c r="D271" s="9" t="str">
        <v>שונות</v>
      </c>
      <c r="E271" s="9" t="str">
        <v>368-13-04-01</v>
      </c>
      <c r="F271" s="9" t="str">
        <v>ירושלים</v>
      </c>
      <c r="G271" s="9" t="str">
        <v>518-525/2013</v>
      </c>
      <c r="H271" s="9" t="str">
        <v>כשר לרישום</v>
      </c>
      <c r="I271" s="9" t="str">
        <v>V</v>
      </c>
      <c r="J271" s="9">
        <v>8</v>
      </c>
      <c r="K271" s="9" t="str">
        <v>נטלי</v>
      </c>
      <c r="L271" s="9">
        <v>0</v>
      </c>
      <c r="M271" s="9" t="str">
        <v>רננה</v>
      </c>
      <c r="N271" s="9" t="str">
        <v>נשלח לחגי דרך פע"מ .חגי שלח הערות רוצה תוספת מיפוי מצבי .שלחנו לחגי עם התוספת המצבית . נפגשתי עם חגי היום 27.8.2013 חגי יאשר . שלחנו מיילרים . חגי חתם כשר לרישום</v>
      </c>
      <c r="O271" s="9">
        <v>0</v>
      </c>
      <c r="P271" s="9">
        <v>0</v>
      </c>
      <c r="Q271" s="9" t="str">
        <v>בטאבו ירושלים</v>
      </c>
    </row>
    <row r="272" spans="1:17" ht="24.95" customHeight="1" x14ac:dyDescent="0.2">
      <c r="A272" s="9">
        <v>60357</v>
      </c>
      <c r="B272" s="9" t="str">
        <v>ירושלים גילה אדמות המדינה תבע 13157</v>
      </c>
      <c r="C272" s="9" t="str">
        <v>30933 30962 30964</v>
      </c>
      <c r="D272" s="9" t="str">
        <v>שונות</v>
      </c>
      <c r="E272" s="9" t="str">
        <v>443-13-04-01</v>
      </c>
      <c r="F272" s="9" t="str">
        <v>ירושלים</v>
      </c>
      <c r="G272" s="9" t="str">
        <v>639-641/2013</v>
      </c>
      <c r="H272" s="9" t="str">
        <v>כשר לרישום</v>
      </c>
      <c r="I272" s="9" t="str">
        <v>V</v>
      </c>
      <c r="J272" s="9">
        <v>3</v>
      </c>
      <c r="K272" s="9" t="str">
        <v>נטלי</v>
      </c>
      <c r="L272" s="9">
        <v>0</v>
      </c>
      <c r="M272" s="9" t="str">
        <v>חגי</v>
      </c>
      <c r="N272" s="9" t="str">
        <v>נשלח לחגי דרך פע"מ . רונית שלחה הערות . 
נפגשתי עם חגי ב 27.8.2013 . חגי יאשר . שיווקו מגרשים ולכן משהבש ירושלים לחוצים מאוד .</v>
      </c>
      <c r="O272" s="9">
        <v>0</v>
      </c>
      <c r="P272" s="9">
        <v>0</v>
      </c>
      <c r="Q272" s="9" t="str">
        <v>בטאבו ירושלים</v>
      </c>
    </row>
    <row r="273" spans="1:17" ht="24.95" customHeight="1" x14ac:dyDescent="0.2">
      <c r="A273" s="9">
        <v>90126</v>
      </c>
      <c r="B273" s="9" t="str">
        <v>מבשרת ציון שכונה י תבע הל-644</v>
      </c>
      <c r="C273" s="9" t="str">
        <v>30321  30320</v>
      </c>
      <c r="D273" s="9" t="str">
        <v>שונות</v>
      </c>
      <c r="E273" s="9" t="str">
        <v>483-13-04-01</v>
      </c>
      <c r="F273" s="9" t="str">
        <v>ירושלים</v>
      </c>
      <c r="G273" s="9" t="str">
        <v>725-726/2013</v>
      </c>
      <c r="H273" s="9" t="str">
        <v>כשר לרישום</v>
      </c>
      <c r="I273" s="9" t="str">
        <v>V</v>
      </c>
      <c r="J273" s="9">
        <v>2</v>
      </c>
      <c r="K273" s="9" t="str">
        <v>נטלי</v>
      </c>
      <c r="L273" s="9">
        <v>0</v>
      </c>
      <c r="M273" s="9" t="str">
        <v>חגי</v>
      </c>
      <c r="N273" s="9" t="str">
        <v>נשלח לחגי דרך פע"מ . ישבתי עם חגי על אופן הקמת הגבולות . חגי אישר .
כוכי בודקת את המיילרים . יאשרו השבוע 31.8.2014</v>
      </c>
      <c r="O273" s="9">
        <v>0</v>
      </c>
      <c r="P273" s="9">
        <v>0</v>
      </c>
      <c r="Q273" s="9" t="str">
        <v>בטאבו ירושלים</v>
      </c>
    </row>
    <row r="274" spans="1:17" ht="24.95" customHeight="1" x14ac:dyDescent="0.2">
      <c r="A274" s="9">
        <v>110530</v>
      </c>
      <c r="B274" s="9" t="str">
        <v>פסגת זאב חלקה 2 בגוש 30614</v>
      </c>
      <c r="C274" s="9" t="str">
        <v>30614</v>
      </c>
      <c r="D274" s="9" t="str">
        <v>2</v>
      </c>
      <c r="E274" s="9">
        <v>0</v>
      </c>
      <c r="F274" s="9" t="str">
        <v>ירושלים</v>
      </c>
      <c r="G274" s="9" t="str">
        <v>474/2013</v>
      </c>
      <c r="H274" s="9" t="str">
        <v>כשר לרישום</v>
      </c>
      <c r="I274" s="9" t="str">
        <v>V</v>
      </c>
      <c r="J274" s="9">
        <v>1</v>
      </c>
      <c r="K274" s="9" t="str">
        <v>נטלי</v>
      </c>
      <c r="L274" s="9">
        <v>0</v>
      </c>
      <c r="M274" s="9" t="str">
        <v>רונית</v>
      </c>
      <c r="N274" s="9" t="str">
        <v>רונית שלחה הערות . קיבלנו מכתב מדני אוסטר והעברנו הא לחגי .
לסמן קטע של חלוקה יוצאת .</v>
      </c>
      <c r="O274" s="9">
        <v>0</v>
      </c>
      <c r="P274" s="9">
        <v>0</v>
      </c>
      <c r="Q274" s="9">
        <v>0</v>
      </c>
    </row>
    <row r="275" spans="1:17" ht="24.95" customHeight="1" x14ac:dyDescent="0.2">
      <c r="A275" s="9">
        <v>40453</v>
      </c>
      <c r="B275" s="9" t="str">
        <v>פסגת זאב תחנת השאיבה תבע 13144</v>
      </c>
      <c r="C275" s="9" t="str">
        <v>30590</v>
      </c>
      <c r="D275" s="9" t="str">
        <v xml:space="preserve"> 99, 100, 101, 141, 458, 460, 473, 477</v>
      </c>
      <c r="E275" s="9" t="str">
        <v>0914-13-04-01</v>
      </c>
      <c r="F275" s="9" t="str">
        <v>ירושלים</v>
      </c>
      <c r="G275" s="9" t="str">
        <v>1495/2013</v>
      </c>
      <c r="H275" s="9" t="str">
        <v>כשר לרישום</v>
      </c>
      <c r="I275" s="9" t="str">
        <v>V</v>
      </c>
      <c r="J275" s="9">
        <v>1</v>
      </c>
      <c r="K275" s="9" t="str">
        <v>נטלי</v>
      </c>
      <c r="L275" s="9">
        <v>0</v>
      </c>
      <c r="M275" s="9" t="str">
        <v>רונית</v>
      </c>
      <c r="N275" s="9" t="str">
        <v>שלחנו לחגי קבצים . שלחנו היום 25.8.2013 תיק חישובים לחגי.
שלחנו מיילרים</v>
      </c>
      <c r="O275" s="9">
        <v>0</v>
      </c>
      <c r="P275" s="9">
        <v>0</v>
      </c>
      <c r="Q275" s="9">
        <v>0</v>
      </c>
    </row>
    <row r="276" spans="1:17" ht="24.95" customHeight="1" x14ac:dyDescent="0.2">
      <c r="A276" s="9">
        <v>544</v>
      </c>
      <c r="B276" s="9" t="str">
        <v>גורן תצ"ר</v>
      </c>
      <c r="C276" s="9" t="str">
        <v>18615 18617</v>
      </c>
      <c r="D276" s="9" t="str">
        <v>שונות</v>
      </c>
      <c r="E276" s="9" t="str">
        <v>0921-12-01-01</v>
      </c>
      <c r="F276" s="9" t="str">
        <v>הגליל</v>
      </c>
      <c r="G276" s="9" t="str">
        <v>1416-1418/2012</v>
      </c>
      <c r="H276" s="9" t="str">
        <v>כשר לרישום</v>
      </c>
      <c r="I276" s="9" t="str">
        <v>V</v>
      </c>
      <c r="J276" s="9">
        <v>3</v>
      </c>
      <c r="K276" s="9" t="str">
        <v>נטלי</v>
      </c>
      <c r="L276" s="9">
        <v>0</v>
      </c>
      <c r="M276" s="9" t="str">
        <v>ניקולא</v>
      </c>
      <c r="N276" s="9" t="str">
        <v xml:space="preserve">שלחנו קבצים+תיק חישובים+נייר לבן+הסברים .מחכים לתשובה מניקולא .מבקשים עידכון מצבי בדרום .שלחנו </v>
      </c>
      <c r="O276" s="9">
        <v>0</v>
      </c>
      <c r="P276" s="9">
        <v>0</v>
      </c>
      <c r="Q276" s="9">
        <v>0</v>
      </c>
    </row>
    <row r="277" spans="1:17" ht="24.95" customHeight="1" x14ac:dyDescent="0.2">
      <c r="A277" s="9">
        <v>70177</v>
      </c>
      <c r="B277" s="9" t="str">
        <v>בסמת טבעון חפאג/1341</v>
      </c>
      <c r="C277" s="9" t="str">
        <v>10474 10473 12827 10473</v>
      </c>
      <c r="D277" s="9" t="str">
        <v>שונות</v>
      </c>
      <c r="E277" s="9" t="str">
        <v>0920-12-01-01</v>
      </c>
      <c r="F277" s="9" t="str">
        <v>הגליל</v>
      </c>
      <c r="G277" s="9" t="str">
        <v>1412-1415/2012</v>
      </c>
      <c r="H277" s="9" t="str">
        <v>כשר לרישום</v>
      </c>
      <c r="I277" s="9" t="str">
        <v>V</v>
      </c>
      <c r="J277" s="9">
        <v>4</v>
      </c>
      <c r="K277" s="9" t="str">
        <v>קטי+תמרה</v>
      </c>
      <c r="L277" s="9">
        <v>0</v>
      </c>
      <c r="M277" s="9" t="str">
        <v>יוסף יוסף</v>
      </c>
      <c r="N277" s="9" t="str">
        <v>שלחנו קבצים+תיק חישובים+נייר לבן, שלחו משוב .שלחנו קבצים מתוקנים , ביקשנו פטור מסימון בשדה .ביקשו עוד תיקונים מינוריים .ביקשו מיילרים</v>
      </c>
      <c r="O277" s="9">
        <v>0</v>
      </c>
      <c r="P277" s="9">
        <v>0</v>
      </c>
      <c r="Q277" s="9">
        <v>0</v>
      </c>
    </row>
    <row r="278" spans="1:17" ht="24.95" customHeight="1" x14ac:dyDescent="0.2">
      <c r="A278" s="9">
        <v>70382</v>
      </c>
      <c r="B278" s="9" t="str">
        <v>נשר תוכנית הווי"ם</v>
      </c>
      <c r="C278" s="9" t="str">
        <v>11207 11206 12820 12377</v>
      </c>
      <c r="D278" s="9" t="str">
        <v>שונות</v>
      </c>
      <c r="E278" s="9" t="str">
        <v>0004-13-01-01</v>
      </c>
      <c r="F278" s="9" t="str">
        <v>הגליל</v>
      </c>
      <c r="G278" s="9" t="str">
        <v>4-7/2013</v>
      </c>
      <c r="H278" s="9" t="str">
        <v>כשר לרישום</v>
      </c>
      <c r="I278" s="9" t="str">
        <v>V</v>
      </c>
      <c r="J278" s="9">
        <v>4</v>
      </c>
      <c r="K278" s="9" t="str">
        <v>תמרה</v>
      </c>
      <c r="L278" s="9">
        <v>0</v>
      </c>
      <c r="M278" s="9" t="str">
        <v>ראמי</v>
      </c>
      <c r="N278" s="9" t="str">
        <v>שלחנו קבצים+תיק חישובים+נייר לבן
ביקשו תיקונים . שלחנו בתאריך 25.4.2013 . שלחנו מיילרים שיחתמו היום ע"י יוסף יוסף 19.5.2013</v>
      </c>
      <c r="O278" s="9">
        <v>0</v>
      </c>
      <c r="P278" s="9">
        <v>0</v>
      </c>
      <c r="Q278" s="9">
        <v>0</v>
      </c>
    </row>
    <row r="279" spans="1:17" ht="24.95" customHeight="1" x14ac:dyDescent="0.2">
      <c r="A279" s="9">
        <v>110555</v>
      </c>
      <c r="B279" s="9" t="str">
        <v>ירושלים גוש 30564,חלקה 38</v>
      </c>
      <c r="C279" s="9" t="str">
        <v>30564</v>
      </c>
      <c r="D279" s="9" t="str">
        <v>38</v>
      </c>
      <c r="E279" s="9" t="str">
        <v>35-14-04-01</v>
      </c>
      <c r="F279" s="9" t="str">
        <v>ירושלים</v>
      </c>
      <c r="G279" s="9" t="str">
        <v>76/2014</v>
      </c>
      <c r="H279" s="9" t="str">
        <v>כשר לרישום</v>
      </c>
      <c r="I279" s="9" t="str">
        <v>V</v>
      </c>
      <c r="J279" s="9">
        <v>1</v>
      </c>
      <c r="K279" s="9" t="str">
        <v>תמרה</v>
      </c>
      <c r="L279" s="9">
        <v>0</v>
      </c>
      <c r="M279" s="9" t="str">
        <v>חגי</v>
      </c>
      <c r="N279" s="9" t="str">
        <v>מסרנו תיק חישובים למפי י"ם . ביקשתי להעביר ללינקולן . תיקונים גרפיים קלים . שלחנו מיילרים</v>
      </c>
      <c r="O279" s="9">
        <v>0</v>
      </c>
      <c r="P279" s="9">
        <v>0</v>
      </c>
      <c r="Q279" s="9">
        <v>0</v>
      </c>
    </row>
    <row r="280" spans="1:17" ht="24.95" customHeight="1" x14ac:dyDescent="0.2">
      <c r="A280" s="9">
        <v>130407</v>
      </c>
      <c r="B280" s="9" t="str">
        <v>פסגת זאב 3 מגרשים 30587-118 30590-495 31314-[10]  שלמה כהן</v>
      </c>
      <c r="C280" s="9">
        <v>0</v>
      </c>
      <c r="D280" s="9">
        <v>0</v>
      </c>
      <c r="E280" s="9" t="str">
        <v>0176-14-04-01</v>
      </c>
      <c r="F280" s="9" t="str">
        <v>ירושלים</v>
      </c>
      <c r="G280" s="9" t="str">
        <v>264-266/2014</v>
      </c>
      <c r="H280" s="9" t="str">
        <v>כשר לרישום</v>
      </c>
      <c r="I280" s="9" t="str">
        <v>V</v>
      </c>
      <c r="J280" s="9">
        <v>3</v>
      </c>
      <c r="K280" s="9" t="str">
        <v>אירה</v>
      </c>
      <c r="L280" s="9">
        <v>0</v>
      </c>
      <c r="M280" s="9" t="str">
        <v>רונית</v>
      </c>
      <c r="N280" s="9" t="str">
        <v>שלחנו קבצים לאבי שוסטרוב.הקבצים תקינים.שלמה מסר תיק חישובים למפי ירושלים .ביקשתי להעביר ללינקולן .</v>
      </c>
      <c r="O280" s="9">
        <v>0</v>
      </c>
      <c r="P280" s="9">
        <v>0</v>
      </c>
      <c r="Q280" s="9">
        <v>0</v>
      </c>
    </row>
    <row r="281" spans="1:17" ht="24.95" customHeight="1" x14ac:dyDescent="0.2">
      <c r="A281" s="9">
        <v>100510</v>
      </c>
      <c r="B281" s="9" t="str">
        <v>ירושלים הר הצופים האוניברסיטה</v>
      </c>
      <c r="C281" s="9" t="str">
        <v>30509 31383  31335</v>
      </c>
      <c r="D281" s="9">
        <v>0</v>
      </c>
      <c r="E281" s="9" t="str">
        <v>0368-14-04-01</v>
      </c>
      <c r="F281" s="9" t="str">
        <v>לינקולן</v>
      </c>
      <c r="G281" s="9" t="str">
        <v>614-617/2014</v>
      </c>
      <c r="H281" s="9" t="str">
        <v>מחוז</v>
      </c>
      <c r="I281" s="9">
        <v>0</v>
      </c>
      <c r="J281" s="9">
        <v>4</v>
      </c>
      <c r="K281" s="9" t="str">
        <v>נטלי</v>
      </c>
      <c r="L281" s="9" t="str">
        <v>26.5.2014</v>
      </c>
      <c r="M281" s="9" t="str">
        <v>טרם התחילו ביקורת</v>
      </c>
      <c r="N281" s="9" t="str">
        <v>שלחנו קבצים לשוסטרוב . שלחנו תיק חישובים לחגי</v>
      </c>
      <c r="O281" s="9">
        <v>0</v>
      </c>
      <c r="P281" s="9" t="str">
        <v>בהמתנה לביקורת</v>
      </c>
      <c r="Q281" s="9">
        <v>0</v>
      </c>
    </row>
    <row r="282" spans="1:17" ht="24.95" customHeight="1" x14ac:dyDescent="0.2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</row>
    <row r="283" spans="1:17" ht="24.95" customHeight="1" x14ac:dyDescent="0.2">
      <c r="A283" s="9">
        <v>60220</v>
      </c>
      <c r="B283" s="9" t="str">
        <v>נתניה נאות גנים</v>
      </c>
      <c r="C283" s="9" t="str">
        <v>8215 - 8218</v>
      </c>
      <c r="D283" s="9" t="str">
        <v>ביקורת תכנית לתיעוד גבולות</v>
      </c>
      <c r="E283" s="9" t="str">
        <v>0984-10-03-04</v>
      </c>
      <c r="F283" s="9" t="str">
        <v>תל אביב</v>
      </c>
      <c r="G283" s="9" t="str">
        <v>5000-5008/11</v>
      </c>
      <c r="H283" s="9" t="str">
        <v>מחוז</v>
      </c>
      <c r="I283" s="9">
        <v>0</v>
      </c>
      <c r="J283" s="9">
        <v>9</v>
      </c>
      <c r="K283" s="9" t="str">
        <v>תמרה</v>
      </c>
      <c r="L283" s="9" t="str">
        <v>8.2.2012</v>
      </c>
      <c r="M283" s="9" t="str">
        <v>אירנה איטקיס</v>
      </c>
      <c r="N283" s="9" t="str">
        <v>חסר נסחי  רישום</v>
      </c>
      <c r="O283" s="9">
        <v>0</v>
      </c>
      <c r="P283" s="9">
        <v>0</v>
      </c>
      <c r="Q283" s="9">
        <v>0</v>
      </c>
    </row>
    <row r="284" spans="1:17" ht="24.95" customHeight="1" x14ac:dyDescent="0.2">
      <c r="A284" s="9">
        <v>90579</v>
      </c>
      <c r="B284" s="9" t="str">
        <v>יד בנימין 2-7-256 גוש 5924 ח 85</v>
      </c>
      <c r="C284" s="9" t="str">
        <v>5924</v>
      </c>
      <c r="D284" s="9" t="str">
        <v>85</v>
      </c>
      <c r="E284" s="9" t="str">
        <v>0464-13-03-01</v>
      </c>
      <c r="F284" s="9" t="str">
        <v>תל אביב</v>
      </c>
      <c r="G284" s="9" t="str">
        <v>0687-2013</v>
      </c>
      <c r="H284" s="9" t="str">
        <v>מחוז</v>
      </c>
      <c r="I284" s="9">
        <v>0</v>
      </c>
      <c r="J284" s="9">
        <v>1</v>
      </c>
      <c r="K284" s="9" t="str">
        <v>נטלי</v>
      </c>
      <c r="L284" s="9" t="str">
        <v>31.12.2012</v>
      </c>
      <c r="M284" s="9" t="str">
        <v>אירנה איטקיס</v>
      </c>
      <c r="N284" s="9" t="str">
        <v>הקבצים נבדקו במחוז . התקיימה  פגישה במחוז .האם נפתח תיק ?</v>
      </c>
      <c r="O284" s="9">
        <v>0</v>
      </c>
      <c r="P284" s="9" t="str">
        <v>טרם נפתח</v>
      </c>
      <c r="Q284" s="9">
        <v>0</v>
      </c>
    </row>
    <row r="285" spans="1:17" ht="24.95" customHeight="1" x14ac:dyDescent="0.2">
      <c r="A285" s="9">
        <v>20697</v>
      </c>
      <c r="B285" s="9" t="str">
        <v>שלומי מתחם אדמית ג-19794</v>
      </c>
      <c r="C285" s="9" t="str">
        <v>שונים</v>
      </c>
      <c r="D285" s="9" t="str">
        <v>שונות</v>
      </c>
      <c r="E285" s="9" t="str">
        <v>0799-13-01-01</v>
      </c>
      <c r="F285" s="9" t="str">
        <v>הגליל</v>
      </c>
      <c r="G285" s="9" t="str">
        <v>1263-1271/2013</v>
      </c>
      <c r="H285" s="9" t="str">
        <v>כשר לרישום</v>
      </c>
      <c r="I285" s="9" t="str">
        <v>V</v>
      </c>
      <c r="J285" s="9">
        <v>9</v>
      </c>
      <c r="K285" s="9" t="str">
        <v>אירה</v>
      </c>
      <c r="L285" s="9">
        <v>0</v>
      </c>
      <c r="M285" s="9" t="str">
        <v>ראמי</v>
      </c>
      <c r="N285" s="9" t="str">
        <v>שלחנו קבצים ותיק חישובים</v>
      </c>
      <c r="O285" s="9">
        <v>0</v>
      </c>
      <c r="P285" s="9">
        <v>0</v>
      </c>
      <c r="Q285" s="9">
        <v>0</v>
      </c>
    </row>
    <row r="286" spans="1:17" ht="24.95" customHeight="1" x14ac:dyDescent="0.2">
      <c r="A286" s="9">
        <v>100857</v>
      </c>
      <c r="B286" s="9" t="str">
        <v>חריש 1\א צפונית ופרסה</v>
      </c>
      <c r="C286" s="9" t="str">
        <v>שונים</v>
      </c>
      <c r="D286" s="9" t="str">
        <v>שונים</v>
      </c>
      <c r="E286" s="9" t="str">
        <v>0823-13-01-01</v>
      </c>
      <c r="F286" s="9" t="str">
        <v>הגליל</v>
      </c>
      <c r="G286" s="9" t="str">
        <v>1320-1337/2013</v>
      </c>
      <c r="H286" s="9" t="str">
        <v>כשר לרישום</v>
      </c>
      <c r="I286" s="9" t="str">
        <v>V</v>
      </c>
      <c r="J286" s="9">
        <v>18</v>
      </c>
      <c r="K286" s="9" t="str">
        <v>נטלי</v>
      </c>
      <c r="L286" s="9">
        <v>0</v>
      </c>
      <c r="M286" s="9" t="str">
        <v>ניקולא</v>
      </c>
      <c r="N286" s="9">
        <v>0</v>
      </c>
      <c r="O286" s="9">
        <v>0</v>
      </c>
      <c r="P286" s="9">
        <v>0</v>
      </c>
      <c r="Q286" s="9">
        <v>0</v>
      </c>
    </row>
    <row r="287" spans="1:17" ht="24.95" customHeight="1" x14ac:dyDescent="0.2">
      <c r="A287" s="9">
        <v>120177</v>
      </c>
      <c r="B287" s="9" t="str">
        <v>שדה אליעזר הרחבה תצר ממי</v>
      </c>
      <c r="C287" s="9" t="str">
        <v>14412 , 13985 , 13986</v>
      </c>
      <c r="D287" s="9" t="str">
        <v>שונות</v>
      </c>
      <c r="E287" s="9" t="str">
        <v>0867-13-01-01</v>
      </c>
      <c r="F287" s="9" t="str">
        <v>הגליל</v>
      </c>
      <c r="G287" s="9" t="str">
        <v>1414-1416/2013</v>
      </c>
      <c r="H287" s="9" t="str">
        <v>כשר לרישום</v>
      </c>
      <c r="I287" s="9" t="str">
        <v>V</v>
      </c>
      <c r="J287" s="9">
        <v>3</v>
      </c>
      <c r="K287" s="9" t="str">
        <v>נטלי</v>
      </c>
      <c r="L287" s="9">
        <v>0</v>
      </c>
      <c r="M287" s="9" t="str">
        <v>ראמי</v>
      </c>
      <c r="N287" s="9">
        <v>0</v>
      </c>
      <c r="O287" s="9">
        <v>0</v>
      </c>
      <c r="P287" s="9">
        <v>0</v>
      </c>
      <c r="Q287" s="9">
        <v>0</v>
      </c>
    </row>
    <row r="288" spans="1:17" ht="24.95" customHeight="1" x14ac:dyDescent="0.2">
      <c r="A288" s="9">
        <v>100857</v>
      </c>
      <c r="B288" s="9" t="str">
        <v>חריש יזמים I</v>
      </c>
      <c r="C288" s="9" t="str">
        <v>שונים</v>
      </c>
      <c r="D288" s="9">
        <v>0</v>
      </c>
      <c r="E288" s="9">
        <v>0</v>
      </c>
      <c r="F288" s="9" t="str">
        <v>הגליל</v>
      </c>
      <c r="G288" s="9" t="str">
        <v>1982-1995/2013</v>
      </c>
      <c r="H288" s="9" t="str">
        <v>כשר לרישום</v>
      </c>
      <c r="I288" s="9" t="str">
        <v>V</v>
      </c>
      <c r="J288" s="9">
        <v>14</v>
      </c>
      <c r="K288" s="9" t="str">
        <v>נטלי</v>
      </c>
      <c r="L288" s="9">
        <v>0</v>
      </c>
      <c r="M288" s="9" t="str">
        <v>ניקולא</v>
      </c>
      <c r="N288" s="9">
        <v>0</v>
      </c>
      <c r="O288" s="9">
        <v>0</v>
      </c>
      <c r="P288" s="9">
        <v>0</v>
      </c>
      <c r="Q288" s="9">
        <v>0</v>
      </c>
    </row>
    <row r="289" spans="1:17" ht="24.95" customHeight="1" x14ac:dyDescent="0.2">
      <c r="A289" s="9">
        <v>100857</v>
      </c>
      <c r="B289" s="9" t="str">
        <v>חריש יזמים II</v>
      </c>
      <c r="C289" s="9" t="str">
        <v>שונים</v>
      </c>
      <c r="D289" s="9">
        <v>0</v>
      </c>
      <c r="E289" s="9">
        <v>0</v>
      </c>
      <c r="F289" s="9" t="str">
        <v>הגליל</v>
      </c>
      <c r="G289" s="9" t="str">
        <v>325-331/2014</v>
      </c>
      <c r="H289" s="9" t="str">
        <v>כשר לרישום</v>
      </c>
      <c r="I289" s="9" t="str">
        <v>V</v>
      </c>
      <c r="J289" s="9">
        <v>7</v>
      </c>
      <c r="K289" s="9" t="str">
        <v>נטלי</v>
      </c>
      <c r="L289" s="9">
        <v>0</v>
      </c>
      <c r="M289" s="9" t="str">
        <v>ניקולא</v>
      </c>
      <c r="N289" s="9">
        <v>0</v>
      </c>
      <c r="O289" s="9">
        <v>0</v>
      </c>
      <c r="P289" s="9">
        <v>0</v>
      </c>
      <c r="Q289" s="9">
        <v>0</v>
      </c>
    </row>
    <row r="290" spans="1:17" ht="24.95" customHeight="1" x14ac:dyDescent="0.2">
      <c r="A290" s="9">
        <v>120498</v>
      </c>
      <c r="B290" s="9" t="str">
        <v>אום אל פאחם א.ת.</v>
      </c>
      <c r="C290" s="9" t="str">
        <v>שונים</v>
      </c>
      <c r="D290" s="9">
        <v>0</v>
      </c>
      <c r="E290" s="9" t="str">
        <v>1038-13-02-01</v>
      </c>
      <c r="F290" s="9" t="str">
        <v>הגליל</v>
      </c>
      <c r="G290" s="9" t="str">
        <v>1699-1702/13</v>
      </c>
      <c r="H290" s="9" t="str">
        <v>כשר לרישום</v>
      </c>
      <c r="I290" s="9" t="str">
        <v>V</v>
      </c>
      <c r="J290" s="9">
        <v>4</v>
      </c>
      <c r="K290" s="9" t="str">
        <v>אירה</v>
      </c>
      <c r="L290" s="9">
        <v>0</v>
      </c>
      <c r="M290" s="9" t="str">
        <v>אדהם</v>
      </c>
      <c r="N290" s="9">
        <v>0</v>
      </c>
      <c r="O290" s="9">
        <v>0</v>
      </c>
      <c r="P290" s="9">
        <v>0</v>
      </c>
      <c r="Q290" s="9">
        <v>0</v>
      </c>
    </row>
    <row r="291" spans="1:17" ht="24.95" customHeight="1" x14ac:dyDescent="0.2">
      <c r="A291" s="9">
        <v>110065</v>
      </c>
      <c r="B291" s="9" t="str">
        <v>גני תקווה  א דורי גרויסמן הנדסה תבע ממ-5159</v>
      </c>
      <c r="C291" s="9" t="str">
        <v>6717</v>
      </c>
      <c r="D291" s="9" t="str">
        <v>51 , 53 , ,91,94</v>
      </c>
      <c r="E291" s="9" t="str">
        <v>0346-14-03-01</v>
      </c>
      <c r="F291" s="9" t="str">
        <v>תל אביב</v>
      </c>
      <c r="G291" s="9" t="str">
        <v>586/2014</v>
      </c>
      <c r="H291" s="9" t="str">
        <v>כשר לרישום</v>
      </c>
      <c r="I291" s="9">
        <v>0</v>
      </c>
      <c r="J291" s="9">
        <v>1</v>
      </c>
      <c r="K291" s="9" t="str">
        <v>אירה</v>
      </c>
      <c r="L291" s="9" t="str">
        <v>8.5.2014</v>
      </c>
      <c r="M291" s="9" t="str">
        <v xml:space="preserve">אירנה איטקיס . נפתח תיק בתאריך 8.5.2014 </v>
      </c>
      <c r="N291" s="9" t="str">
        <v>הקבצים אושרו . לקראת סיום .</v>
      </c>
      <c r="O291" s="9">
        <v>0</v>
      </c>
      <c r="P291" s="9">
        <v>0</v>
      </c>
      <c r="Q291" s="9">
        <v>0</v>
      </c>
    </row>
    <row r="292" spans="1:17" ht="24.95" customHeight="1" x14ac:dyDescent="0.2">
      <c r="A292" s="9">
        <v>100475</v>
      </c>
      <c r="B292" s="9" t="str">
        <v>רמת השרון תצר מתחם הצעירים בתוך 214/ב/1   רש\מק\1082</v>
      </c>
      <c r="C292" s="9" t="str">
        <v>6862</v>
      </c>
      <c r="D292" s="9" t="str">
        <v xml:space="preserve">ארעיות 66-70,73,74,80,89 </v>
      </c>
      <c r="E292" s="9" t="str">
        <v>0529-14-03-01</v>
      </c>
      <c r="F292" s="9" t="str">
        <v>תל אביב</v>
      </c>
      <c r="G292" s="9" t="str">
        <v>836/2014</v>
      </c>
      <c r="H292" s="9" t="str">
        <v>כשר לרישום</v>
      </c>
      <c r="I292" s="9">
        <v>0</v>
      </c>
      <c r="J292" s="9">
        <v>1</v>
      </c>
      <c r="K292" s="9" t="str">
        <v>אירה</v>
      </c>
      <c r="L292" s="9" t="str">
        <v>11.6.2014</v>
      </c>
      <c r="M292" s="9" t="str">
        <v>אירנה איטקיס</v>
      </c>
      <c r="N292" s="9" t="str">
        <v>שלחנו קבצים . מחכים למסמכים לפתיחת תיק ביקורת תצר . עופר בר און צריך לעשות העברה בנקאית .כנראה ששלח כי התיק נפתח. שלחנו מיילרים</v>
      </c>
      <c r="O292" s="9">
        <v>0</v>
      </c>
      <c r="P292" s="9">
        <v>0</v>
      </c>
      <c r="Q292" s="9">
        <v>0</v>
      </c>
    </row>
    <row r="293" spans="1:17" ht="24.95" customHeight="1" x14ac:dyDescent="0.2">
      <c r="A293" s="9">
        <v>120707</v>
      </c>
      <c r="B293" s="9" t="str">
        <v>מעצ, מסילת העמק יהושע-ברוך</v>
      </c>
      <c r="C293" s="9">
        <v>0</v>
      </c>
      <c r="D293" s="9">
        <v>0</v>
      </c>
      <c r="E293" s="9">
        <v>0</v>
      </c>
      <c r="F293" s="9" t="str">
        <v>הגליל</v>
      </c>
      <c r="G293" s="9" t="str">
        <v>1813-1822/2013</v>
      </c>
      <c r="H293" s="9" t="str">
        <v>כשר לרישום</v>
      </c>
      <c r="I293" s="9" t="str">
        <v>V</v>
      </c>
      <c r="J293" s="9">
        <v>10</v>
      </c>
      <c r="K293" s="9" t="str">
        <v>תמרה</v>
      </c>
      <c r="L293" s="9">
        <v>0</v>
      </c>
      <c r="M293" s="9" t="str">
        <v>ראמי + אדהם</v>
      </c>
      <c r="N293" s="9" t="str">
        <v>שלחנו מיילרים לאדהם</v>
      </c>
      <c r="O293" s="9">
        <v>0</v>
      </c>
      <c r="P293" s="9">
        <v>0</v>
      </c>
      <c r="Q293" s="9">
        <v>0</v>
      </c>
    </row>
    <row r="294" spans="1:17" ht="24.95" customHeight="1" x14ac:dyDescent="0.2">
      <c r="A294" s="9">
        <v>120208</v>
      </c>
      <c r="B294" s="9" t="str">
        <v>כפר שמריהו נתיבי איילון</v>
      </c>
      <c r="C294" s="9" t="str">
        <v>6665/4,6  6672/100-103</v>
      </c>
      <c r="D294" s="9">
        <v>0</v>
      </c>
      <c r="E294" s="9" t="str">
        <v>1146-13-03-01</v>
      </c>
      <c r="F294" s="9" t="str">
        <v>תל אביב</v>
      </c>
      <c r="G294" s="9" t="str">
        <v>1914-1919/2013</v>
      </c>
      <c r="H294" s="9" t="str">
        <v>מחוז</v>
      </c>
      <c r="I294" s="9">
        <v>0</v>
      </c>
      <c r="J294" s="9">
        <v>6</v>
      </c>
      <c r="K294" s="9" t="str">
        <v>נטלי</v>
      </c>
      <c r="L294" s="9" t="str">
        <v>30.6.2014</v>
      </c>
      <c r="M294" s="9" t="str">
        <v>אירנה איטקיס</v>
      </c>
      <c r="N294" s="9">
        <v>0</v>
      </c>
      <c r="O294" s="9">
        <v>0</v>
      </c>
      <c r="P294" s="9">
        <v>0</v>
      </c>
      <c r="Q294" s="9">
        <v>0</v>
      </c>
    </row>
    <row r="295" spans="1:17" ht="24.95" customHeight="1" x14ac:dyDescent="0.2">
      <c r="A295" s="9">
        <v>120634</v>
      </c>
      <c r="B295" s="9" t="str">
        <v>ראשון לציון בזק גוש 3926 חלקות 50 , 51 , 127</v>
      </c>
      <c r="C295" s="9" t="str">
        <v>3926</v>
      </c>
      <c r="D295" s="9" t="str">
        <v>50 ' 51 ' 127</v>
      </c>
      <c r="E295" s="9" t="str">
        <v>0684-14-03-01</v>
      </c>
      <c r="F295" s="9" t="str">
        <v>תל אביב</v>
      </c>
      <c r="G295" s="9" t="str">
        <v>1101/2014</v>
      </c>
      <c r="H295" s="9" t="str">
        <v>כשר לרישום</v>
      </c>
      <c r="I295" s="9">
        <v>0</v>
      </c>
      <c r="J295" s="9" t="str">
        <v>1</v>
      </c>
      <c r="K295" s="9" t="str">
        <v>נטלי</v>
      </c>
      <c r="L295" s="9" t="str">
        <v>7.9.2014</v>
      </c>
      <c r="M295" s="9" t="str">
        <v>מיכאל וינשטיין</v>
      </c>
      <c r="N295" s="9" t="str">
        <v>סיפקנו מיילרים</v>
      </c>
      <c r="O295" s="9">
        <v>0</v>
      </c>
      <c r="P295" s="9">
        <v>0</v>
      </c>
      <c r="Q295" s="9">
        <v>0</v>
      </c>
    </row>
    <row r="296" spans="1:17" ht="24.95" customHeight="1" x14ac:dyDescent="0.2">
      <c r="A296" s="9">
        <v>80668</v>
      </c>
      <c r="B296" s="9" t="str">
        <v xml:space="preserve">גן יבנה 102 דרום </v>
      </c>
      <c r="C296" s="9" t="str">
        <v>187</v>
      </c>
      <c r="D296" s="9" t="str">
        <v>13,15</v>
      </c>
      <c r="E296" s="9" t="str">
        <v>1057-14-03-01</v>
      </c>
      <c r="F296" s="9" t="str">
        <v>תל אביב</v>
      </c>
      <c r="G296" s="9" t="str">
        <v>1702-1703/2014</v>
      </c>
      <c r="H296" s="9" t="str">
        <v>מחוז</v>
      </c>
      <c r="I296" s="9">
        <v>0</v>
      </c>
      <c r="J296" s="9">
        <v>2</v>
      </c>
      <c r="K296" s="9" t="str">
        <v>תמרה</v>
      </c>
      <c r="L296" s="9" t="str">
        <v>11.11.2014</v>
      </c>
      <c r="M296" s="9" t="str">
        <v>טרם נקבע</v>
      </c>
      <c r="N296" s="9" t="str">
        <v>שלחנו לאסנת. ליאור יכין במקביל הרשאה תקציבית</v>
      </c>
      <c r="O296" s="9">
        <v>0</v>
      </c>
      <c r="P296" s="9" t="str">
        <v>טרם נפתח</v>
      </c>
      <c r="Q296" s="9">
        <v>0</v>
      </c>
    </row>
    <row r="297" spans="1:17" ht="24.95" customHeight="1" x14ac:dyDescent="0.2">
      <c r="A297" s="9">
        <v>120098</v>
      </c>
      <c r="B297" s="9" t="str">
        <v>אור יהודה איחוד 7408/64,65</v>
      </c>
      <c r="C297" s="9" t="str">
        <v>7408</v>
      </c>
      <c r="D297" s="9">
        <v>0</v>
      </c>
      <c r="E297" s="9" t="str">
        <v>1093-14-03-01</v>
      </c>
      <c r="F297" s="9" t="str">
        <v>תל אביב</v>
      </c>
      <c r="G297" s="9" t="str">
        <v>1747/2014</v>
      </c>
      <c r="H297" s="9" t="str">
        <v>מחוז</v>
      </c>
      <c r="I297" s="9">
        <v>0</v>
      </c>
      <c r="J297" s="9">
        <v>1</v>
      </c>
      <c r="K297" s="9" t="str">
        <v>נטלי</v>
      </c>
      <c r="L297" s="9" t="str">
        <v>טרם נמסר</v>
      </c>
      <c r="M297" s="9" t="str">
        <v>מחכים למסמכים לפתיחת תיק ביקורת תצר</v>
      </c>
      <c r="N297" s="9" t="str">
        <v>מיכל רביד ביצעה העברה בנקאית</v>
      </c>
      <c r="O297" s="9" t="str">
        <v>גלעד</v>
      </c>
      <c r="P297" s="9" t="str">
        <v>טרם נפתח</v>
      </c>
      <c r="Q297" s="9">
        <v>0</v>
      </c>
    </row>
    <row r="298" spans="1:17" ht="24.95" customHeight="1" x14ac:dyDescent="0.2">
      <c r="A298" s="9">
        <v>140157</v>
      </c>
      <c r="B298" s="9" t="str">
        <v>יד בנימין גוש 5923 חלקה 180 תצר ורישום</v>
      </c>
      <c r="C298" s="9" t="str">
        <v>5923</v>
      </c>
      <c r="D298" s="9" t="str">
        <v>180</v>
      </c>
      <c r="E298" s="9">
        <v>0</v>
      </c>
      <c r="F298" s="9" t="str">
        <v>תל אביב</v>
      </c>
      <c r="G298" s="9" t="str">
        <v>1508/2014</v>
      </c>
      <c r="H298" s="9" t="str">
        <v>מחוז</v>
      </c>
      <c r="I298" s="9">
        <v>0</v>
      </c>
      <c r="J298" s="9">
        <v>1</v>
      </c>
      <c r="K298" s="9" t="str">
        <v>יוליה</v>
      </c>
      <c r="L298" s="9" t="str">
        <v>23.10.2014</v>
      </c>
      <c r="M298" s="9" t="str">
        <v>אירנה איטקיס</v>
      </c>
      <c r="N298" s="9" t="str">
        <v>אירנה ביקשה תיקונים 27.11.2014</v>
      </c>
      <c r="O298" s="9">
        <v>0</v>
      </c>
      <c r="P298" s="9">
        <v>0</v>
      </c>
      <c r="Q298" s="9">
        <v>0</v>
      </c>
    </row>
    <row r="299" spans="1:17" ht="24.95" customHeight="1" x14ac:dyDescent="0.2">
      <c r="A299" s="9">
        <v>100360</v>
      </c>
      <c r="B299" s="9" t="str">
        <v>גני תקוה דוניץ - הגשה מחדש</v>
      </c>
      <c r="C299" s="9" t="str">
        <v>6717</v>
      </c>
      <c r="D299" s="9" t="str">
        <v>12,15,18,21,61,89,90,144</v>
      </c>
      <c r="E299" s="9" t="str">
        <v>1197-14-03-01</v>
      </c>
      <c r="F299" s="9" t="str">
        <v>תל אביב</v>
      </c>
      <c r="G299" s="9" t="str">
        <v>1976/2014</v>
      </c>
      <c r="H299" s="9" t="str">
        <v>מחוז</v>
      </c>
      <c r="I299" s="9">
        <v>0</v>
      </c>
      <c r="J299" s="9">
        <v>1</v>
      </c>
      <c r="K299" s="9" t="str">
        <v>תמרה</v>
      </c>
      <c r="L299" s="9" t="str">
        <v>10.12.2014</v>
      </c>
      <c r="M299" s="9">
        <v>0</v>
      </c>
      <c r="N299" s="9" t="str">
        <v>שלחנו קבצים לאבי בתאריך 8.12.2014 . הוגש בפורמט אסארוי .</v>
      </c>
      <c r="O299" s="9">
        <v>0</v>
      </c>
      <c r="P299" s="9">
        <v>0</v>
      </c>
      <c r="Q299" s="9">
        <v>0</v>
      </c>
    </row>
    <row r="300" spans="1:17" ht="24.95" customHeight="1" x14ac:dyDescent="0.2">
      <c r="A300" s="9">
        <v>90332</v>
      </c>
      <c r="B300" s="9" t="str">
        <v>קיבוץ יהל שיוך דירות</v>
      </c>
      <c r="C300" s="9" t="str">
        <v>39104</v>
      </c>
      <c r="D300" s="9" t="str">
        <v>1</v>
      </c>
      <c r="E300" s="9">
        <v>0</v>
      </c>
      <c r="F300" s="9" t="str">
        <v>דרום</v>
      </c>
      <c r="G300" s="9" t="str">
        <v>937/2013</v>
      </c>
      <c r="H300" s="9" t="str">
        <v>כשר לרישום</v>
      </c>
      <c r="I300" s="9" t="str">
        <v>V</v>
      </c>
      <c r="J300" s="9">
        <v>1</v>
      </c>
      <c r="K300" s="9" t="str">
        <v>נטלי</v>
      </c>
      <c r="L300" s="9">
        <v>0</v>
      </c>
      <c r="M300" s="9" t="str">
        <v>סרגיי</v>
      </c>
      <c r="N300" s="9">
        <v>0</v>
      </c>
      <c r="O300" s="9">
        <v>0</v>
      </c>
      <c r="P300" s="9">
        <v>0</v>
      </c>
      <c r="Q300" s="9">
        <v>0</v>
      </c>
    </row>
    <row r="301" spans="1:17" ht="24.95" customHeight="1" x14ac:dyDescent="0.2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</row>
    <row r="302" spans="1:17" ht="24.95" customHeight="1" x14ac:dyDescent="0.2">
      <c r="A302" s="9">
        <v>120732</v>
      </c>
      <c r="B302" s="9" t="str">
        <v>מעצ רכבת מרחביה שאן</v>
      </c>
      <c r="C302" s="9" t="str">
        <v>שונים</v>
      </c>
      <c r="D302" s="9" t="str">
        <v>שונות</v>
      </c>
      <c r="E302" s="9" t="str">
        <v>1137-14-01-01</v>
      </c>
      <c r="F302" s="9" t="str">
        <v>גלבמן</v>
      </c>
      <c r="G302" s="9" t="str">
        <v>1848-1876/2014</v>
      </c>
      <c r="H302" s="9" t="str">
        <v>מחוז</v>
      </c>
      <c r="I302" s="9">
        <v>0</v>
      </c>
      <c r="J302" s="9">
        <v>29</v>
      </c>
      <c r="K302" s="9" t="str">
        <v>אירה</v>
      </c>
      <c r="L302" s="9" t="str">
        <v>30.12.2014</v>
      </c>
      <c r="M302" s="9" t="str">
        <v>יוסף יוסף</v>
      </c>
      <c r="N302" s="9" t="str">
        <v>הועבר לאיתן גלבמן</v>
      </c>
      <c r="O302" s="9">
        <v>0</v>
      </c>
      <c r="P302" s="9">
        <v>0</v>
      </c>
      <c r="Q302" s="9">
        <v>0</v>
      </c>
    </row>
    <row r="303" spans="1:17" ht="24.95" customHeight="1" x14ac:dyDescent="0.2">
      <c r="A303" s="9">
        <v>120016</v>
      </c>
      <c r="B303" s="9" t="str">
        <v>מעצ כביש 531 מזרח</v>
      </c>
      <c r="C303" s="9">
        <v>0</v>
      </c>
      <c r="D303" s="9">
        <v>0</v>
      </c>
      <c r="E303" s="9" t="str">
        <v>1124-13-03-01</v>
      </c>
      <c r="F303" s="9" t="str">
        <v>פוקס</v>
      </c>
      <c r="G303" s="9" t="str">
        <v>1861-1876/2013</v>
      </c>
      <c r="H303" s="9" t="str">
        <v>מחוז</v>
      </c>
      <c r="I303" s="9">
        <v>0</v>
      </c>
      <c r="J303" s="9" t="str">
        <v>16</v>
      </c>
      <c r="K303" s="9" t="str">
        <v>נטלי</v>
      </c>
      <c r="L303" s="9" t="str">
        <v>16.3.2014</v>
      </c>
      <c r="M303" s="9" t="str">
        <v>אורן פוקס</v>
      </c>
      <c r="N303" s="9" t="str">
        <v>הועבר לאורן פוקס</v>
      </c>
      <c r="O303" s="9">
        <v>0</v>
      </c>
      <c r="P303" s="9">
        <v>0</v>
      </c>
      <c r="Q303" s="9">
        <v>0</v>
      </c>
    </row>
    <row r="304" spans="1:17" ht="24.95" customHeight="1" x14ac:dyDescent="0.2">
      <c r="A304" s="9">
        <v>30418</v>
      </c>
      <c r="B304" s="9" t="str">
        <v>נס ציונה  
תב"ע נס-105</v>
      </c>
      <c r="C304" s="9" t="str">
        <v xml:space="preserve">3753  3750  3853 </v>
      </c>
      <c r="D304" s="9">
        <v>0</v>
      </c>
      <c r="E304" s="9">
        <v>0</v>
      </c>
      <c r="F304" s="9" t="str">
        <v>פוקס</v>
      </c>
      <c r="G304" s="9" t="str">
        <v>866-887/2009 
578/2013</v>
      </c>
      <c r="H304" s="9" t="str">
        <v>כשר לרישום</v>
      </c>
      <c r="I304" s="9" t="str">
        <v>V</v>
      </c>
      <c r="J304" s="9">
        <v>23</v>
      </c>
      <c r="K304" s="9" t="str">
        <v>נטלי</v>
      </c>
      <c r="L304" s="9">
        <v>0</v>
      </c>
      <c r="M304" s="9" t="str">
        <v>אורן פוקס</v>
      </c>
      <c r="N304" s="9">
        <v>0</v>
      </c>
      <c r="O304" s="9">
        <v>0</v>
      </c>
      <c r="P304" s="9">
        <v>0</v>
      </c>
      <c r="Q304" s="9">
        <v>0</v>
      </c>
    </row>
    <row r="305" spans="1:17" ht="24.95" customHeight="1" x14ac:dyDescent="0.2">
      <c r="A305" s="9">
        <v>120695</v>
      </c>
      <c r="B305" s="9" t="str">
        <v>תל אביב סלמה</v>
      </c>
      <c r="C305" s="9" t="str">
        <v>7088</v>
      </c>
      <c r="D305" s="9" t="str">
        <v xml:space="preserve">21  22  23  25  26  27  28  88  </v>
      </c>
      <c r="E305" s="9">
        <v>0</v>
      </c>
      <c r="F305" s="9" t="str">
        <v>פוקס</v>
      </c>
      <c r="G305" s="9" t="str">
        <v>1623-1624/2013</v>
      </c>
      <c r="H305" s="9" t="str">
        <v>כשר לרישום</v>
      </c>
      <c r="I305" s="9" t="str">
        <v>V</v>
      </c>
      <c r="J305" s="9">
        <v>2</v>
      </c>
      <c r="K305" s="9" t="str">
        <v>אירה</v>
      </c>
      <c r="L305" s="9">
        <v>0</v>
      </c>
      <c r="M305" s="9" t="str">
        <v>אורן פוקס</v>
      </c>
      <c r="N305" s="9">
        <v>0</v>
      </c>
      <c r="O305" s="9">
        <v>0</v>
      </c>
      <c r="P305" s="9">
        <v>0</v>
      </c>
      <c r="Q305" s="9">
        <v>0</v>
      </c>
    </row>
    <row r="306" spans="1:17" ht="24.95" customHeight="1" x14ac:dyDescent="0.2">
      <c r="A306" s="9">
        <v>120711</v>
      </c>
      <c r="B306" s="9" t="str">
        <v>מעצ כביש 3 צומת נחשון - צומת חטיבה 7</v>
      </c>
      <c r="C306" s="9">
        <v>0</v>
      </c>
      <c r="D306" s="9">
        <v>0</v>
      </c>
      <c r="E306" s="9" t="str">
        <v>0256-14-04-01</v>
      </c>
      <c r="F306" s="9" t="str">
        <v>אלדב</v>
      </c>
      <c r="G306" s="9" t="str">
        <v>430-448/2014</v>
      </c>
      <c r="H306" s="9" t="str">
        <v>מחוז</v>
      </c>
      <c r="I306" s="9">
        <v>0</v>
      </c>
      <c r="J306" s="9">
        <v>19</v>
      </c>
      <c r="K306" s="9" t="str">
        <v>תמרה</v>
      </c>
      <c r="L306" s="9" t="str">
        <v>19.3.2014</v>
      </c>
      <c r="M306" s="9" t="str">
        <v>מיכאל וינשטיין</v>
      </c>
      <c r="N306" s="9" t="str">
        <v>הועבר לאריה פרנק ממשרד חץ הצפון</v>
      </c>
      <c r="O306" s="9">
        <v>0</v>
      </c>
      <c r="P306" s="9">
        <v>0</v>
      </c>
      <c r="Q306" s="9">
        <v>0</v>
      </c>
    </row>
    <row r="307" spans="1:17" ht="24.95" customHeight="1" x14ac:dyDescent="0.2">
      <c r="A307" s="9">
        <v>120014</v>
      </c>
      <c r="B307" s="9" t="str">
        <v>כביש 431 מזרח תצר מעצ</v>
      </c>
      <c r="C307" s="9" t="str">
        <v>שונים</v>
      </c>
      <c r="D307" s="9">
        <v>0</v>
      </c>
      <c r="E307" s="9">
        <v>0</v>
      </c>
      <c r="F307" s="9" t="str">
        <v>פוקס</v>
      </c>
      <c r="G307" s="9" t="str">
        <v>1141-1161/2013</v>
      </c>
      <c r="H307" s="9" t="str">
        <v>כשר לרישום</v>
      </c>
      <c r="I307" s="9" t="str">
        <v>V</v>
      </c>
      <c r="J307" s="9">
        <v>21</v>
      </c>
      <c r="K307" s="9" t="str">
        <v>אירה</v>
      </c>
      <c r="L307" s="9">
        <v>0</v>
      </c>
      <c r="M307" s="9" t="str">
        <v>אורן פוקס</v>
      </c>
      <c r="N307" s="9">
        <v>0</v>
      </c>
      <c r="O307" s="9">
        <v>0</v>
      </c>
      <c r="P307" s="9">
        <v>0</v>
      </c>
      <c r="Q307" s="9">
        <v>0</v>
      </c>
    </row>
    <row r="308" spans="1:17" ht="24.95" customHeight="1" x14ac:dyDescent="0.2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</row>
    <row r="309" spans="1:17" ht="24.95" customHeight="1" x14ac:dyDescent="0.2">
      <c r="A309" s="9">
        <v>140002</v>
      </c>
      <c r="B309" s="9" t="str">
        <v>גני תקוה תבע 5142</v>
      </c>
      <c r="C309" s="9" t="str">
        <v>6717</v>
      </c>
      <c r="D309" s="9" t="str">
        <v>24 ואחרות</v>
      </c>
      <c r="E309" s="9" t="str">
        <v>40771</v>
      </c>
      <c r="F309" s="9" t="str">
        <v>חנית</v>
      </c>
      <c r="G309" s="9" t="str">
        <v>43/2015</v>
      </c>
      <c r="H309" s="9" t="str">
        <v>מחוז</v>
      </c>
      <c r="I309" s="9">
        <v>0</v>
      </c>
      <c r="J309" s="9">
        <v>1</v>
      </c>
      <c r="K309" s="9" t="str">
        <v>תמרה</v>
      </c>
      <c r="L309" s="9">
        <v>0</v>
      </c>
      <c r="M309" s="9" t="str">
        <v>מסרנו הצק לאסנת</v>
      </c>
      <c r="N309" s="9" t="str">
        <v>פורמט חנית</v>
      </c>
      <c r="O309" s="9">
        <v>0</v>
      </c>
      <c r="P309" s="9">
        <v>0</v>
      </c>
      <c r="Q309" s="9">
        <v>0</v>
      </c>
    </row>
    <row r="310" spans="1:17" ht="24.95" customHeight="1" x14ac:dyDescent="0.2">
      <c r="A310" s="9">
        <v>120725</v>
      </c>
      <c r="B310" s="9" t="str">
        <v>גני תקווה 5158</v>
      </c>
      <c r="C310" s="9" t="str">
        <v>6717</v>
      </c>
      <c r="D310" s="9" t="str">
        <v>1 ואחרות</v>
      </c>
      <c r="E310" s="9" t="str">
        <v>40793</v>
      </c>
      <c r="F310" s="9" t="str">
        <v>חנית</v>
      </c>
      <c r="G310" s="9" t="str">
        <v>42/2015</v>
      </c>
      <c r="H310" s="9" t="str">
        <v>מחוז</v>
      </c>
      <c r="I310" s="9">
        <v>0</v>
      </c>
      <c r="J310" s="9">
        <v>1</v>
      </c>
      <c r="K310" s="9" t="str">
        <v>תמרה</v>
      </c>
      <c r="L310" s="9">
        <v>0</v>
      </c>
      <c r="M310" s="9" t="str">
        <v>מסרנו הצק לאסנת</v>
      </c>
      <c r="N310" s="9" t="str">
        <v>פורמט חנית</v>
      </c>
      <c r="O310" s="9">
        <v>0</v>
      </c>
      <c r="P310" s="9">
        <v>0</v>
      </c>
      <c r="Q310" s="9">
        <v>0</v>
      </c>
    </row>
    <row r="311" spans="1:17" ht="24.95" customHeight="1" x14ac:dyDescent="0.2">
      <c r="A311" s="9">
        <v>130826</v>
      </c>
      <c r="B311" s="9" t="str">
        <v>בית עוזיאל הרחבה תצר ממי</v>
      </c>
      <c r="C311" s="9" t="str">
        <v>4667</v>
      </c>
      <c r="D311" s="9">
        <v>0</v>
      </c>
      <c r="E311" s="9" t="str">
        <v>40858</v>
      </c>
      <c r="F311" s="9" t="str">
        <v>חנית</v>
      </c>
      <c r="G311" s="9" t="str">
        <v>44-45/2015</v>
      </c>
      <c r="H311" s="9" t="str">
        <v>מחוז</v>
      </c>
      <c r="I311" s="9">
        <v>0</v>
      </c>
      <c r="J311" s="9">
        <v>2</v>
      </c>
      <c r="K311" s="9" t="str">
        <v>תמרה</v>
      </c>
      <c r="L311" s="9">
        <v>0</v>
      </c>
      <c r="M311" s="9" t="str">
        <v>מסרנו הצק לאסנת</v>
      </c>
      <c r="N311" s="9" t="str">
        <v>פורמט חנית</v>
      </c>
      <c r="O311" s="9">
        <v>0</v>
      </c>
      <c r="P311" s="9">
        <v>0</v>
      </c>
      <c r="Q311" s="9">
        <v>0</v>
      </c>
    </row>
    <row r="312" spans="1:17" ht="24.95" customHeight="1" x14ac:dyDescent="0.2">
      <c r="A312" s="9">
        <v>130814</v>
      </c>
      <c r="B312" s="9" t="str">
        <v xml:space="preserve">גני עם גוש 6449, חלקה 187 </v>
      </c>
      <c r="C312" s="9" t="str">
        <v>6449</v>
      </c>
      <c r="D312" s="9">
        <v>0</v>
      </c>
      <c r="E312" s="9" t="str">
        <v>40831</v>
      </c>
      <c r="F312" s="9" t="str">
        <v>חנית</v>
      </c>
      <c r="G312" s="9" t="str">
        <v>46/2015</v>
      </c>
      <c r="H312" s="9" t="str">
        <v>מחוז</v>
      </c>
      <c r="I312" s="9">
        <v>0</v>
      </c>
      <c r="J312" s="9">
        <v>1</v>
      </c>
      <c r="K312" s="9" t="str">
        <v>תמרה</v>
      </c>
      <c r="L312" s="9">
        <v>0</v>
      </c>
      <c r="M312" s="9">
        <v>0</v>
      </c>
      <c r="N312" s="9" t="str">
        <v>פורמט חנית מחכים למסמכים</v>
      </c>
      <c r="O312" s="9">
        <v>0</v>
      </c>
      <c r="P312" s="9">
        <v>0</v>
      </c>
      <c r="Q312" s="9">
        <v>0</v>
      </c>
    </row>
    <row r="313" spans="1:17" ht="24.95" customHeight="1" x14ac:dyDescent="0.2">
      <c r="A313" s="9">
        <v>130521</v>
      </c>
      <c r="B313" s="9" t="str">
        <v>רמת גן רג-1-1159 מתחם הגפן</v>
      </c>
      <c r="C313" s="9" t="str">
        <v>6205</v>
      </c>
      <c r="D313" s="9">
        <v>0</v>
      </c>
      <c r="E313" s="9" t="str">
        <v>40838</v>
      </c>
      <c r="F313" s="9" t="str">
        <v>חנית</v>
      </c>
      <c r="G313" s="9" t="str">
        <v>200-201/2015</v>
      </c>
      <c r="H313" s="9" t="str">
        <v>מחוז</v>
      </c>
      <c r="I313" s="9">
        <v>0</v>
      </c>
      <c r="J313" s="9">
        <v>2</v>
      </c>
      <c r="K313" s="9" t="str">
        <v>נטלי</v>
      </c>
      <c r="L313" s="9">
        <v>0</v>
      </c>
      <c r="M313" s="9" t="str">
        <v>מסרנו הצק לאסנת</v>
      </c>
      <c r="N313" s="9" t="str">
        <v>פורמט חנית</v>
      </c>
      <c r="O313" s="9">
        <v>0</v>
      </c>
      <c r="P313" s="9">
        <v>0</v>
      </c>
      <c r="Q313" s="9">
        <v>0</v>
      </c>
    </row>
    <row r="314" spans="1:17" ht="24.95" customHeight="1" x14ac:dyDescent="0.2">
      <c r="A314" s="9">
        <v>140195</v>
      </c>
      <c r="B314" s="9" t="str">
        <v>באר יעקב - ממ/4/1517 -  310, 323 - תשריט איחוד</v>
      </c>
      <c r="C314" s="9">
        <v>0</v>
      </c>
      <c r="D314" s="9">
        <v>0</v>
      </c>
      <c r="E314" s="9" t="str">
        <v>40834</v>
      </c>
      <c r="F314" s="9" t="str">
        <v>חנית</v>
      </c>
      <c r="G314" s="9">
        <v>0</v>
      </c>
      <c r="H314" s="9" t="str">
        <v>מחוז</v>
      </c>
      <c r="I314" s="9">
        <v>0</v>
      </c>
      <c r="J314" s="9">
        <v>0</v>
      </c>
      <c r="K314" s="9" t="str">
        <v>אירה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</row>
    <row r="315" spans="1:17" ht="24.95" customHeight="1" x14ac:dyDescent="0.2">
      <c r="A315" s="9" t="str">
        <v>????</v>
      </c>
      <c r="B315" s="9">
        <v>0</v>
      </c>
      <c r="C315" s="9">
        <v>0</v>
      </c>
      <c r="D315" s="9">
        <v>0</v>
      </c>
      <c r="E315" s="9">
        <v>0</v>
      </c>
      <c r="F315" s="9" t="str">
        <v>חנית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</row>
    <row r="316" spans="1:17" ht="24.95" customHeight="1" x14ac:dyDescent="0.2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 t="str">
        <v>חנית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</row>
    <row r="317" spans="1:17" ht="24.95" customHeight="1" x14ac:dyDescent="0.2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 t="str">
        <v>חנית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</row>
    <row r="318" spans="1:17" ht="24.95" customHeight="1" x14ac:dyDescent="0.2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</row>
    <row r="319" spans="1:17" ht="24.95" customHeight="1" x14ac:dyDescent="0.2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</row>
    <row r="320" spans="1:17" ht="24.95" customHeight="1" x14ac:dyDescent="0.2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</row>
    <row r="321" spans="1:17" ht="24.95" customHeight="1" x14ac:dyDescent="0.2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</row>
    <row r="322" spans="1:17" ht="24.95" customHeight="1" x14ac:dyDescent="0.2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</row>
    <row r="323" spans="1:17" ht="24.95" customHeight="1" x14ac:dyDescent="0.2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</row>
    <row r="324" spans="1:17" ht="24.95" customHeight="1" x14ac:dyDescent="0.2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</row>
    <row r="325" spans="1:17" ht="24.95" customHeight="1" x14ac:dyDescent="0.2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</row>
    <row r="326" spans="1:17" ht="24.95" customHeight="1" x14ac:dyDescent="0.2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</row>
    <row r="327" spans="1:17" ht="24.95" customHeight="1" x14ac:dyDescent="0.2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</row>
    <row r="328" spans="1:17" ht="24.95" customHeight="1" x14ac:dyDescent="0.2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</row>
    <row r="329" spans="1:17" ht="24.95" customHeight="1" x14ac:dyDescent="0.2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</row>
    <row r="330" spans="1:17" ht="24.95" customHeight="1" x14ac:dyDescent="0.2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</row>
    <row r="331" spans="1:17" ht="24.95" customHeight="1" x14ac:dyDescent="0.2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</row>
    <row r="332" spans="1:17" ht="24.95" customHeight="1" x14ac:dyDescent="0.2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</row>
    <row r="333" spans="1:17" ht="24.95" customHeight="1" x14ac:dyDescent="0.2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</row>
    <row r="334" spans="1:17" ht="24.95" customHeight="1" x14ac:dyDescent="0.2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</row>
    <row r="335" spans="1:17" ht="24.95" customHeight="1" x14ac:dyDescent="0.2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</row>
    <row r="336" spans="1:17" ht="24.95" customHeight="1" x14ac:dyDescent="0.2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</row>
    <row r="337" spans="1:17" ht="24.95" customHeight="1" x14ac:dyDescent="0.2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</row>
    <row r="338" spans="1:17" ht="24.95" customHeight="1" x14ac:dyDescent="0.2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</row>
    <row r="339" spans="1:17" ht="24.95" customHeight="1" x14ac:dyDescent="0.2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</row>
    <row r="340" spans="1:17" ht="24.95" customHeight="1" x14ac:dyDescent="0.2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</row>
    <row r="341" spans="1:17" ht="24.95" customHeight="1" x14ac:dyDescent="0.2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</row>
    <row r="342" spans="1:17" ht="24.95" customHeight="1" x14ac:dyDescent="0.2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</row>
    <row r="343" spans="1:17" ht="24.95" customHeight="1" x14ac:dyDescent="0.2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</row>
    <row r="344" spans="1:17" ht="24.95" customHeight="1" x14ac:dyDescent="0.2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</row>
    <row r="345" spans="1:17" ht="24.95" customHeight="1" x14ac:dyDescent="0.2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</row>
    <row r="346" spans="1:17" ht="24.95" customHeight="1" x14ac:dyDescent="0.2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</row>
    <row r="347" spans="1:17" ht="24.95" customHeight="1" x14ac:dyDescent="0.2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</row>
    <row r="348" spans="1:17" ht="24.95" customHeight="1" x14ac:dyDescent="0.2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</row>
    <row r="349" spans="1:17" ht="24.95" customHeight="1" x14ac:dyDescent="0.2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</row>
    <row r="350" spans="1:17" ht="24.95" customHeight="1" x14ac:dyDescent="0.2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</row>
    <row r="351" spans="1:17" ht="24.95" customHeight="1" x14ac:dyDescent="0.2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יצחק בן-יוסף</dc:creator>
  <cp:lastModifiedBy>אירנה ינפולסקיה</cp:lastModifiedBy>
  <dcterms:created xsi:type="dcterms:W3CDTF">2015-02-16T13:47:14Z</dcterms:created>
  <dcterms:modified xsi:type="dcterms:W3CDTF">2015-02-24T06:19:59Z</dcterms:modified>
</cp:coreProperties>
</file>